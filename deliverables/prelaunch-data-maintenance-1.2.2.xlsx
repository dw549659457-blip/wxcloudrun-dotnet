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维护指导" sheetId="1" r:id="rId1"/>
    <sheet name="01维护清单" sheetId="2" r:id="rId2"/>
    <sheet name="02人员账号" sheetId="3" r:id="rId3"/>
    <sheet name="03棚户档案" sheetId="4" r:id="rId4"/>
    <sheet name="04包装档案" sheetId="5" r:id="rId5"/>
    <sheet name="05蔬菜档案" sheetId="6" r:id="rId6"/>
    <sheet name="06客户档案" sheetId="7" r:id="rId7"/>
    <sheet name="07期初盘点" sheetId="8" r:id="rId8"/>
    <sheet name="08未结任务" sheetId="9" r:id="rId9"/>
    <sheet name="09上线核对" sheetId="10" r:id="rId10"/>
    <sheet name="10填写示例" sheetId="11" r:id="rId11"/>
    <sheet name="选项" sheetId="12" state="hidden" r:id="rId12"/>
  </sheets>
  <definedNames>
    <definedName name="bind_status">'选项'!$F$2:$F$4</definedName>
    <definedName name="cutover_action">'选项'!$I$2:$I$5</definedName>
    <definedName name="item_kind">'选项'!$D$2:$D$3</definedName>
    <definedName name="maint_status">'选项'!$B$2:$B$6</definedName>
    <definedName name="password_status">'选项'!$E$2:$E$5</definedName>
    <definedName name="_xlnm.Print_Area" localSheetId="0">'00维护指导'!$A$1:$D$21</definedName>
    <definedName name="_xlnm.Print_Area" localSheetId="1">'01维护清单'!$A$1:$J$19</definedName>
    <definedName name="_xlnm.Print_Area" localSheetId="2">'02人员账号'!$A$1:$N$105</definedName>
    <definedName name="_xlnm.Print_Area" localSheetId="3">'03棚户档案'!$A$1:$F$105</definedName>
    <definedName name="_xlnm.Print_Area" localSheetId="4">'04包装档案'!$A$1:$H$105</definedName>
    <definedName name="_xlnm.Print_Area" localSheetId="5">'05蔬菜档案'!$A$1:$H$105</definedName>
    <definedName name="_xlnm.Print_Area" localSheetId="6">'06客户档案'!$A$1:$F$105</definedName>
    <definedName name="_xlnm.Print_Area" localSheetId="7">'07期初盘点'!$A$1:$N$105</definedName>
    <definedName name="_xlnm.Print_Area" localSheetId="8">'08未结任务'!$A$1:$O$105</definedName>
    <definedName name="_xlnm.Print_Area" localSheetId="9">'09上线核对'!$A$1:$H$17</definedName>
    <definedName name="_xlnm.Print_Area" localSheetId="10">'10填写示例'!$A$1:$D$19</definedName>
    <definedName name="_xlnm.Print_Titles" localSheetId="1">'01维护清单'!$1:$5</definedName>
    <definedName name="_xlnm.Print_Titles" localSheetId="2">'02人员账号'!$1:$5</definedName>
    <definedName name="_xlnm.Print_Titles" localSheetId="3">'03棚户档案'!$1:$5</definedName>
    <definedName name="_xlnm.Print_Titles" localSheetId="4">'04包装档案'!$1:$5</definedName>
    <definedName name="_xlnm.Print_Titles" localSheetId="5">'05蔬菜档案'!$1:$5</definedName>
    <definedName name="_xlnm.Print_Titles" localSheetId="6">'06客户档案'!$1:$5</definedName>
    <definedName name="_xlnm.Print_Titles" localSheetId="7">'07期初盘点'!$1:$5</definedName>
    <definedName name="_xlnm.Print_Titles" localSheetId="8">'08未结任务'!$1:$5</definedName>
    <definedName name="_xlnm.Print_Titles" localSheetId="9">'09上线核对'!$1:$5</definedName>
    <definedName name="_xlnm.Print_Titles" localSheetId="10">'10填写示例'!$1:$5</definedName>
    <definedName name="review_result">'选项'!$J$2:$J$5</definedName>
    <definedName name="stock_action">'选项'!$G$2:$G$5</definedName>
    <definedName name="stock_status">'选项'!$H$2:$H$6</definedName>
    <definedName name="veg_units">'选项'!$C$2:$C$3</definedName>
    <definedName name="yes_no">'选项'!$A$2:$A$3</definedName>
  </definedNames>
  <calcPr calcId="124519" fullCalcOnLoad="1"/>
</workbook>
</file>

<file path=xl/sharedStrings.xml><?xml version="1.0" encoding="utf-8"?>
<sst xmlns="http://schemas.openxmlformats.org/spreadsheetml/2006/main" count="412" uniqueCount="340">
  <si>
    <t>yes_no</t>
  </si>
  <si>
    <t>是</t>
  </si>
  <si>
    <t>否</t>
  </si>
  <si>
    <t>maint_status</t>
  </si>
  <si>
    <t>未开始</t>
  </si>
  <si>
    <t>准备中</t>
  </si>
  <si>
    <t>待核对</t>
  </si>
  <si>
    <t>已完成</t>
  </si>
  <si>
    <t>不适用</t>
  </si>
  <si>
    <t>veg_units</t>
  </si>
  <si>
    <t>箱</t>
  </si>
  <si>
    <t>公斤</t>
  </si>
  <si>
    <t>item_kind</t>
  </si>
  <si>
    <t>包装</t>
  </si>
  <si>
    <t>蔬菜</t>
  </si>
  <si>
    <t>password_status</t>
  </si>
  <si>
    <t>已单独设置</t>
  </si>
  <si>
    <t>保持原密码</t>
  </si>
  <si>
    <t>无需密码</t>
  </si>
  <si>
    <t>未设置</t>
  </si>
  <si>
    <t>bind_status</t>
  </si>
  <si>
    <t>已绑定</t>
  </si>
  <si>
    <t>待本人绑定</t>
  </si>
  <si>
    <t>仅网页后台</t>
  </si>
  <si>
    <t>stock_action</t>
  </si>
  <si>
    <t>首次期初入库</t>
  </si>
  <si>
    <t>核对后库存调整</t>
  </si>
  <si>
    <t>无需入账</t>
  </si>
  <si>
    <t>stock_status</t>
  </si>
  <si>
    <t>待盘点</t>
  </si>
  <si>
    <t>待复核</t>
  </si>
  <si>
    <t>待入账</t>
  </si>
  <si>
    <t>已入账</t>
  </si>
  <si>
    <t>cutover_action</t>
  </si>
  <si>
    <t>上线前结清</t>
  </si>
  <si>
    <t>沿用已存在批次</t>
  </si>
  <si>
    <t>专门制定切换方案</t>
  </si>
  <si>
    <t>review_result</t>
  </si>
  <si>
    <t>未验证</t>
  </si>
  <si>
    <t>通过</t>
  </si>
  <si>
    <t>未通过</t>
  </si>
  <si>
    <t>上线前，管理员应该维护哪些数据？</t>
  </si>
  <si>
    <t>适用：棚户记账1.2.2｜蓝字区域供填写，浅黄色区域为自动核对｜示例仅在“10填写示例”，各填写表均为空白。</t>
  </si>
  <si>
    <t>本Excel用于收集、盘点与人工维护，当前后台没有本表的批量导入入口。填好后按对应后台页面新增/编辑；库存必须通过单据确认入账。</t>
  </si>
  <si>
    <t>顺序</t>
  </si>
  <si>
    <t>要维护的内容</t>
  </si>
  <si>
    <t>工作表 / 后台入口</t>
  </si>
  <si>
    <t>完成标准</t>
  </si>
  <si>
    <t>人员账号与岗位</t>
  </si>
  <si>
    <t>02人员账号 / 员工与身份→员工与角色</t>
  </si>
  <si>
    <t>姓名、唯一账号、本人手机号、岗位、启用状态正确。管理员/后台管理员密码单独设置，普通员工不用后台密码。</t>
  </si>
  <si>
    <t>棚户档案</t>
  </si>
  <si>
    <t>03棚户档案 / 基础档案→棚户档案</t>
  </si>
  <si>
    <t>每个实际合作棚户登记准确名称并启用；联系人、电话可选。棚户档案不会自动创建员工。</t>
  </si>
  <si>
    <t>包装档案</t>
  </si>
  <si>
    <t>04包装档案 / 基础档案→包装类型档案</t>
  </si>
  <si>
    <t>名称、库存单位必填，规格建议填清；包装数量按整数。不同规格建议用名称明确区分。</t>
  </si>
  <si>
    <t>蔬菜档案</t>
  </si>
  <si>
    <t>05蔬菜档案 / 基础档案→蔬菜品类档案</t>
  </si>
  <si>
    <t>单位只能“箱”或“公斤”。同名菜按箱、公斤分别记时，应分别建品类，不能自动换算或相加。</t>
  </si>
  <si>
    <t>客户档案</t>
  </si>
  <si>
    <t>06客户档案 / 基础档案→客户档案</t>
  </si>
  <si>
    <t>真实收货客户提前建档并启用，出库必须选择客户；联系人和电话可选。</t>
  </si>
  <si>
    <t>仓库期初与余额核对</t>
  </si>
  <si>
    <t>07期初盘点 / 库存入库与调整</t>
  </si>
  <si>
    <t>确定切账日期，盘点仓库实物，查询系统已有余额及历史后复核。零数量不用入库；已有账不重复做期初。</t>
  </si>
  <si>
    <t>未结棚户任务（如有）</t>
  </si>
  <si>
    <t>08未结任务 / 业务批次查询</t>
  </si>
  <si>
    <t>核对在外包装和未入仓蔬菜，决定结清、沿用已有批次或制定切换方案；不当作仓库期初。</t>
  </si>
  <si>
    <t>后台管理员权限与本人微信</t>
  </si>
  <si>
    <t>01维护清单、09上线核对</t>
  </si>
  <si>
    <t>后台管理员负责下级员工管理和审批，业务默认查询/导出；额外业务权限由管理员配置。管理员和员工用本人微信核对姓名并绑定。</t>
  </si>
  <si>
    <t>建议顺序：先填清单和人员 → 棚户/包装/蔬菜/客户 → 盘点并复核 → 后台维护 → 微信本人绑定 → 上线核对。</t>
  </si>
  <si>
    <t>特别注意：本表不收集真实密码、数据库密码或AppSecret；“后台密码设置”仅记录是否已单独设置。唯一检查只覆盖本表，后台已有账号仍须核对。</t>
  </si>
  <si>
    <t>期初只填仓库实际可用包装与已实收到仓蔬菜；棚户在外包装、仅装好的蔬菜不属于仓库余额。库存差额必须先核实，不靠重录期初覆盖。</t>
  </si>
  <si>
    <t>从维护清单开始</t>
  </si>
  <si>
    <t>打开管理后台</t>
  </si>
  <si>
    <t>查看图文使用手册</t>
  </si>
  <si>
    <t>管理员上线前维护清单</t>
  </si>
  <si>
    <t>填负责人、计划日期与状态。业务数据由管理员维护；技术部署条件由维护人员确认。</t>
  </si>
  <si>
    <t>不要把示例姓名、示例数量或旧测试单直接当作真实业务。角色按实际使用配置，不强制每个岗位对应不同的人。</t>
  </si>
  <si>
    <t>维护项目</t>
  </si>
  <si>
    <t>是否需要</t>
  </si>
  <si>
    <t>后台入口</t>
  </si>
  <si>
    <t>具体要做什么</t>
  </si>
  <si>
    <t>负责人</t>
  </si>
  <si>
    <t>计划完成日期</t>
  </si>
  <si>
    <t>状态</t>
  </si>
  <si>
    <t>备注</t>
  </si>
  <si>
    <t>1</t>
  </si>
  <si>
    <t>原管理员账号</t>
  </si>
  <si>
    <t>必需</t>
  </si>
  <si>
    <t>员工与身份→员工与角色</t>
  </si>
  <si>
    <t>核对原账号、本人姓名、手机号及ADMIN，保留启用；编辑不换密码则留空。</t>
  </si>
  <si>
    <t>至少1个启用管理员；本人手机号正确，可登录网页。</t>
  </si>
  <si>
    <t>2</t>
  </si>
  <si>
    <t>司机/装菜/出库人员</t>
  </si>
  <si>
    <t>使用对应流程时必需</t>
  </si>
  <si>
    <t>按本人填唯一账号和手机号，勾选实际岗位，启用；一人多岗可多选。</t>
  </si>
  <si>
    <t>对应岗位人员准备好，能够本人确认；不共用账号。</t>
  </si>
  <si>
    <t>3</t>
  </si>
  <si>
    <t>后台管理员账号</t>
  </si>
  <si>
    <t>需要后台管理员时</t>
  </si>
  <si>
    <t>由最高管理员设置独立密码；负责下级人员管理及审批，业务默认查询和导出；使用网页后台。</t>
  </si>
  <si>
    <t>后台管理员可登录网页、查询和导出。</t>
  </si>
  <si>
    <t>4</t>
  </si>
  <si>
    <t>棚户</t>
  </si>
  <si>
    <t>使用派发/装菜/回收时</t>
  </si>
  <si>
    <t>基础档案→棚户档案</t>
  </si>
  <si>
    <t>准确名称，按需填联系人/电话并启用。</t>
  </si>
  <si>
    <t>真实合作棚户可被司机选择。</t>
  </si>
  <si>
    <t>5</t>
  </si>
  <si>
    <t>包装类型</t>
  </si>
  <si>
    <t>使用包装流转时</t>
  </si>
  <si>
    <t>基础档案→包装类型档案</t>
  </si>
  <si>
    <t>名称、单位、规格核实后启用。</t>
  </si>
  <si>
    <t>规格明确、数量单位一致。</t>
  </si>
  <si>
    <t>6</t>
  </si>
  <si>
    <t>蔬菜品类</t>
  </si>
  <si>
    <t>使用菜产出/入库/出库时</t>
  </si>
  <si>
    <t>基础档案→蔬菜品类档案</t>
  </si>
  <si>
    <t>名称、单位箱或公斤；不同计量口径分别建档。</t>
  </si>
  <si>
    <t>出库品类已建档，箱/公斤不混用。</t>
  </si>
  <si>
    <t>7</t>
  </si>
  <si>
    <t>客户</t>
  </si>
  <si>
    <t>使用出库时</t>
  </si>
  <si>
    <t>基础档案→客户档案</t>
  </si>
  <si>
    <t>真实客户名称、可选联系方式、启用。</t>
  </si>
  <si>
    <t>出库时可选择正确客户。</t>
  </si>
  <si>
    <t>8</t>
  </si>
  <si>
    <t>单位和规格</t>
  </si>
  <si>
    <t>包装类型/蔬菜品类档案</t>
  </si>
  <si>
    <t>业务发生前确定；已使用单位不能随意改，必要时新建品类。</t>
  </si>
  <si>
    <t>与员工实物计数口径一致。</t>
  </si>
  <si>
    <t>9</t>
  </si>
  <si>
    <t>仓库切账盘点</t>
  </si>
  <si>
    <t>库存入库与调整；仓库概览</t>
  </si>
  <si>
    <t>填实盘与已有系统余额，复核历史和差额。</t>
  </si>
  <si>
    <t>单据入账后数量与实物一致；不重复入库。</t>
  </si>
  <si>
    <t>10</t>
  </si>
  <si>
    <t>未结任务</t>
  </si>
  <si>
    <t>存在时必需</t>
  </si>
  <si>
    <t>业务批次查询</t>
  </si>
  <si>
    <t>逐户核对司机、包装与蔬菜，确定切换方案。</t>
  </si>
  <si>
    <t>在外与仓库分别清楚，不重复造历史业务。</t>
  </si>
  <si>
    <t>11</t>
  </si>
  <si>
    <t>后台管理员业务权限</t>
  </si>
  <si>
    <t>使用后台管理员时</t>
  </si>
  <si>
    <t>后台管理员权限配置</t>
  </si>
  <si>
    <t>默认查/导出；确需其他权限时选模块，填写调整原因，核对保存。</t>
  </si>
  <si>
    <t>配置适用于全部后台管理员；同级/上级后台账号及审计仍仅管理员；后台管理员可维护下级员工和审批。</t>
  </si>
  <si>
    <t>12</t>
  </si>
  <si>
    <t>本人微信绑定</t>
  </si>
  <si>
    <t>小程序人员必需</t>
  </si>
  <si>
    <t>小程序开始使用；开通协助审批</t>
  </si>
  <si>
    <t>本人核实手机号与姓名，或管理员核实协助后由本人确认。</t>
  </si>
  <si>
    <t>各岗位实际人员能进入正确工作台。</t>
  </si>
  <si>
    <t>13</t>
  </si>
  <si>
    <t>现有数据核对</t>
  </si>
  <si>
    <t>已有业务库必需</t>
  </si>
  <si>
    <t>全量业务单据；库存；报表</t>
  </si>
  <si>
    <t>区分真实与测试记录，管理员按业务依赖核实处理；保留已确认历史。</t>
  </si>
  <si>
    <t>不得为了上线清空库、直接改余额或重跑首次初始化。</t>
  </si>
  <si>
    <t>14</t>
  </si>
  <si>
    <t>最终复核与通知</t>
  </si>
  <si>
    <t>上线前必需</t>
  </si>
  <si>
    <t>09上线核对；管理审计</t>
  </si>
  <si>
    <t>核对账号、库存、权限、动态、模板及数据维护记录。</t>
  </si>
  <si>
    <t>负责人确认，问题有明确处理安排。</t>
  </si>
  <si>
    <t>人员账号与岗位填写表（100行）</t>
  </si>
  <si>
    <t>对应：员工与身份→员工与角色。至少一个岗位选“是”；其余选“否”。手机号必须是本人11位大陆手机号。</t>
  </si>
  <si>
    <t>普通司机/装菜/出库员不用后台密码。新管理员、后台管理员密码12—128字符；密码只在后台设置，不填写本表。编辑原管理员可保持原密码。</t>
  </si>
  <si>
    <t>打开后台维护入口</t>
  </si>
  <si>
    <t>姓名*</t>
  </si>
  <si>
    <t>唯一账号*</t>
  </si>
  <si>
    <t>本人手机号*</t>
  </si>
  <si>
    <t>管理员</t>
  </si>
  <si>
    <t>后台管理员</t>
  </si>
  <si>
    <t>司机</t>
  </si>
  <si>
    <t>装菜人员</t>
  </si>
  <si>
    <t>出库员</t>
  </si>
  <si>
    <t>启用*</t>
  </si>
  <si>
    <t>后台密码设置</t>
  </si>
  <si>
    <t>微信绑定核对</t>
  </si>
  <si>
    <t>后台维护状态</t>
  </si>
  <si>
    <t>填写检查（自动）</t>
  </si>
  <si>
    <t>棚户档案填写表（100行）</t>
  </si>
  <si>
    <t>对应：基础档案→棚户档案。名称必填，联系人和联系方式可选。</t>
  </si>
  <si>
    <t>这里的联系方式不用于员工微信绑定，也不会创建员工。员工应在“02人员账号”另行登记。</t>
  </si>
  <si>
    <t>名称*</t>
  </si>
  <si>
    <t>联系人（可选）</t>
  </si>
  <si>
    <t>联系方式（可选）</t>
  </si>
  <si>
    <t>客户档案填写表（100行）</t>
  </si>
  <si>
    <t>对应：基础档案→客户档案。名称必填，联系人和联系方式可选。</t>
  </si>
  <si>
    <t>包装档案填写表（100行）</t>
  </si>
  <si>
    <t>对应：基础档案→包装类型档案。名称及库存单位必填；规格建议写清实际大小/重量口径。</t>
  </si>
  <si>
    <t>包装单位可填写个、筐、袋等实际计数单位，数量用整数。不同规格建议在名称中明确区分。已使用品类不能随意改单位。</t>
  </si>
  <si>
    <t>库存单位*</t>
  </si>
  <si>
    <t>规格（可选）</t>
  </si>
  <si>
    <t>蔬菜档案填写表（100行）</t>
  </si>
  <si>
    <t>对应：基础档案→蔬菜品类档案。名称及库存单位必填；规格建议写清实际大小/重量口径。</t>
  </si>
  <si>
    <t>蔬菜单位只能箱/公斤，箱数为整数，公斤最多3位小数；同名按两种单位记账时分别建品类。</t>
  </si>
  <si>
    <t>仓库盘点、已有余额与入账复核（100行）</t>
  </si>
  <si>
    <t>只盘仓库内实际可用包装、已实收到仓蔬菜；不包含棚户在外包装和装菜未入仓产出。差额=实盘-已有仓库余额。</t>
  </si>
  <si>
    <t>空库且从未入账才按首次期初；已有历史须先核实，用有原因的库存调整处理差额。差额0不用入账；差额负数做出向调整时仍填正数绝对值。</t>
  </si>
  <si>
    <t>切账日期*</t>
  </si>
  <si>
    <t>品类类别*</t>
  </si>
  <si>
    <t>品类名称*</t>
  </si>
  <si>
    <t>规格核对</t>
  </si>
  <si>
    <t>仓库实盘数量*</t>
  </si>
  <si>
    <t>系统已有仓库余额*</t>
  </si>
  <si>
    <t>差额（自动）</t>
  </si>
  <si>
    <t>处理方式*</t>
  </si>
  <si>
    <t>核对说明/调整原因</t>
  </si>
  <si>
    <t>复核人*</t>
  </si>
  <si>
    <t>后台入账单号</t>
  </si>
  <si>
    <t>执行状态</t>
  </si>
  <si>
    <t>上线切换时，未结棚户任务核对（有在途任务才填）</t>
  </si>
  <si>
    <t>适用于上线切换时仍有棚户包装未回、装菜未运到仓的情况。逐项填实物和原账，不与仓库余额混合。</t>
  </si>
  <si>
    <t>新系统若没有这些原任务，不要直接当仓库期初，也不要凭本表重放历史派发/装菜/回收，以免重复扣库存。由管理员和维护人员先确认切换方案。</t>
  </si>
  <si>
    <t>原司机</t>
  </si>
  <si>
    <t>原派发日期</t>
  </si>
  <si>
    <t>包装品类</t>
  </si>
  <si>
    <t>单位</t>
  </si>
  <si>
    <t>原累计下发</t>
  </si>
  <si>
    <t>已累计消耗</t>
  </si>
  <si>
    <t>已累计回收</t>
  </si>
  <si>
    <t>在外实有待回收</t>
  </si>
  <si>
    <t>未入仓蔬菜情况</t>
  </si>
  <si>
    <t>原系统批次/单号</t>
  </si>
  <si>
    <t>切换处理方案</t>
  </si>
  <si>
    <t>核对状态</t>
  </si>
  <si>
    <t>上线前由业务管理员与维护人员一起确认</t>
  </si>
  <si>
    <t>这里只记录结果，不填写数据库密码或微信密钥。使用实际业务人员微信和实际部署版本核对。</t>
  </si>
  <si>
    <t>草稿不改变库存；正式入账才产生动态。数量和单位分别核对。试用示例不得混作真实业务库存。</t>
  </si>
  <si>
    <t>序号</t>
  </si>
  <si>
    <t>核对项目</t>
  </si>
  <si>
    <t>责任人类别</t>
  </si>
  <si>
    <t>实际要验证什么</t>
  </si>
  <si>
    <t>通过标准</t>
  </si>
  <si>
    <t>核对结果</t>
  </si>
  <si>
    <t>问题/处理安排</t>
  </si>
  <si>
    <t>原管理员可用</t>
  </si>
  <si>
    <t>业务管理员</t>
  </si>
  <si>
    <t>登录后台，核对姓名、启用、手机号与管理员岗位。</t>
  </si>
  <si>
    <t>保留至少1个有效管理员，原业务账号不重建。</t>
  </si>
  <si>
    <t>基础档案已完成</t>
  </si>
  <si>
    <t>核对棚户/包装/菜/客户名称、单位、规格和启用。</t>
  </si>
  <si>
    <t>实际使用对象可以在小程序选择；无同名规格混淆。</t>
  </si>
  <si>
    <t>人员与本人手机号</t>
  </si>
  <si>
    <t>业务管理员+员工</t>
  </si>
  <si>
    <t>检查每个账号、手机号唯一，岗位准确；本人微信确认姓名。</t>
  </si>
  <si>
    <t>实际用户可进入正确岗位；不借用其他人账号。</t>
  </si>
  <si>
    <t>仓库盘点与期初</t>
  </si>
  <si>
    <t>业务管理员+后台管理员</t>
  </si>
  <si>
    <t>实盘与系统余额复核，核实历史单据；按确认后的方式入账。</t>
  </si>
  <si>
    <t>仓库实物与系统一致，零数量不入账，不重复期初。</t>
  </si>
  <si>
    <t>未结任务处理</t>
  </si>
  <si>
    <t>业务管理员+维护人员</t>
  </si>
  <si>
    <t>如有，核对在外包装/未入仓菜及原批次，确认切换方案。</t>
  </si>
  <si>
    <t>仓库与在外分开清楚，旧任务不重复造单。</t>
  </si>
  <si>
    <t>后台管理员查询与导出</t>
  </si>
  <si>
    <t>后台管理员登录网页，筛选报表、导出；额外业务权限核对。</t>
  </si>
  <si>
    <t>默认查询/导出，其他权限按配置；同级/上级后台账号和审计只限管理员；下级员工与审批可由后台管理员维护。</t>
  </si>
  <si>
    <t>司机/装菜/出库流程</t>
  </si>
  <si>
    <t>实际岗位员工</t>
  </si>
  <si>
    <t>在指定测试安排或真实首笔业务中核对任务、数量、日期和客户。</t>
  </si>
  <si>
    <t>装菜产出不提前入仓；实收才入仓；出库填正数。</t>
  </si>
  <si>
    <t>操作留痕</t>
  </si>
  <si>
    <t>管理审计查询后台维护和查询记录；库存流水能追溯单号。</t>
  </si>
  <si>
    <t>修改、查询、删除及失败操作能按人/时间/请求ID查到。</t>
  </si>
  <si>
    <t>云服务与数据库升级</t>
  </si>
  <si>
    <t>维护人员</t>
  </si>
  <si>
    <t>确认现有服务新版部署正常，已有业务库005/006已正确升级。</t>
  </si>
  <si>
    <t>记账、权限、动态功能可用；已有库不重复首次初始化。</t>
  </si>
  <si>
    <t>微信身份与调用</t>
  </si>
  <si>
    <t>维护人员+员工</t>
  </si>
  <si>
    <t>确认AppID与云环境关联、登录及手机号资格；必要时用本人协助审批。</t>
  </si>
  <si>
    <t>真实微信可进入；密钥只在服务端，未填入本表。</t>
  </si>
  <si>
    <t>库存动态与提醒</t>
  </si>
  <si>
    <t>管理员查动态，主动订阅模板74963，确认通知与点击明细。</t>
  </si>
  <si>
    <t>页面显示约5秒刷新；一次订阅用于下一次变动，真实微信通知已验收。</t>
  </si>
  <si>
    <t>正式发布与审核访问</t>
  </si>
  <si>
    <t>管理员+小程序维护人员</t>
  </si>
  <si>
    <t>核对实际上传工程与版本、审核测试访问安排；正式提醒state用formal。</t>
  </si>
  <si>
    <t>提交的是验收包，审核可访问对应身份；正式跳转正确。</t>
  </si>
  <si>
    <t>填写示例与字段口径（仅参考，勿直接录入）</t>
  </si>
  <si>
    <t>示例不属于待上线数据。人员手机号用说明文字占位，实际必须填本人手机号。</t>
  </si>
  <si>
    <t>普通员工不设置网页密码；管理员/后台管理员密码在后台单独设置。以下期初数仅演示，不要求在已有库重复录入。</t>
  </si>
  <si>
    <t>项目</t>
  </si>
  <si>
    <t>示例填写</t>
  </si>
  <si>
    <t>应当怎么理解</t>
  </si>
  <si>
    <t>维护入口/注意事项</t>
  </si>
  <si>
    <t>已有admin账号；本人手机号；管理员=是</t>
  </si>
  <si>
    <t>编辑原管理员，不新建重复账号。编辑密码框留空可保持原密码。</t>
  </si>
  <si>
    <t>员工与角色；改资料后重新登录，再本人微信绑定。</t>
  </si>
  <si>
    <t>张师傅；driver_zhang；填本人手机号；司机=是</t>
  </si>
  <si>
    <t>其余岗位按职责选是/否；可兼任，但仍是本人账号。</t>
  </si>
  <si>
    <t>小程序派发、回收本人任务。</t>
  </si>
  <si>
    <t>王阿姨；worker_wang；填本人手机号；装菜人员=是</t>
  </si>
  <si>
    <t>登记本次消耗与产出，产出不算已经入仓。</t>
  </si>
  <si>
    <t>小程序装菜登记。</t>
  </si>
  <si>
    <t>赵师傅；outbound_zhao；填本人手机号；出库员=是</t>
  </si>
  <si>
    <t>选择真实客户，实际出库填正数。</t>
  </si>
  <si>
    <t>小程序正常/手工出库。</t>
  </si>
  <si>
    <t>陈女士；accountant_chen；后台管理员=是；密码已单独设置</t>
  </si>
  <si>
    <t>使用网页；下级人员管理与审批、业务默认查询/导出；使用网页后台。</t>
  </si>
  <si>
    <t>员工与角色、后台管理员权限配置。</t>
  </si>
  <si>
    <t>王家棚户；启用=是；联系人按需填</t>
  </si>
  <si>
    <t>一户一个明确档案；棚户联系人手机号不代替员工手机号。</t>
  </si>
  <si>
    <t>基础档案→棚户档案。</t>
  </si>
  <si>
    <t>泡沫箱-大号；单位个；规格60×40cm；启用=是</t>
  </si>
  <si>
    <t>名称区分规格；包装数量用整数。</t>
  </si>
  <si>
    <t>基础档案→包装类型档案。</t>
  </si>
  <si>
    <t>蔬菜（箱）</t>
  </si>
  <si>
    <t>白菜-箱装；单位箱；规格按实际；启用=是</t>
  </si>
  <si>
    <t>每箱规格按实际，箱数用整数。</t>
  </si>
  <si>
    <t>基础档案→蔬菜品类档案。</t>
  </si>
  <si>
    <t>蔬菜（公斤）</t>
  </si>
  <si>
    <t>白菜-散装；单位公斤；启用=是</t>
  </si>
  <si>
    <t>公斤可小数；与箱装分别记账，不自动换算。</t>
  </si>
  <si>
    <t>东村蔬菜配送中心；联系人和电话按需填</t>
  </si>
  <si>
    <t>出库实际接收方；无需为客户创建员工登录。</t>
  </si>
  <si>
    <t>基础档案→客户档案。</t>
  </si>
  <si>
    <t>首次空库包装</t>
  </si>
  <si>
    <t>实盘1000个，系统0个，已确认从未入账</t>
  </si>
  <si>
    <t>首次期初入库1000个；已有账请先核实。</t>
  </si>
  <si>
    <t>库存入库与调整，选期初，核对后确认。</t>
  </si>
  <si>
    <t>已有库存差额</t>
  </si>
  <si>
    <t>实盘925个，系统900个，差额+25个</t>
  </si>
  <si>
    <t>先找原因/历史单据；经确认必要时做入向调整25个，不重录925期初。</t>
  </si>
  <si>
    <t>库存调整要填原因；填正数25，由方向决定增加。</t>
  </si>
  <si>
    <t>零库存或无差额</t>
  </si>
  <si>
    <t>实盘0、系统0，或实盘与系统相等</t>
  </si>
  <si>
    <t>无需创建0数量单据，也无需重复入账。</t>
  </si>
  <si>
    <t>期初盘点状态选无需入账。</t>
  </si>
  <si>
    <t>在外包装和未入仓菜</t>
  </si>
  <si>
    <t>棚户仍有30个包装、12箱菜待运回</t>
  </si>
  <si>
    <t>放08未结任务核对，不加入仓库期初；实收后才回库。</t>
  </si>
  <si>
    <t>先确认旧任务切换方案；已有批次按正常业务处理。</t>
  </si>
</sst>
</file>

<file path=xl/styles.xml><?xml version="1.0" encoding="utf-8"?>
<styleSheet xmlns="http://schemas.openxmlformats.org/spreadsheetml/2006/main">
  <numFmts count="3">
    <numFmt numFmtId="164" formatCode="@"/>
    <numFmt numFmtId="165" formatCode="yyyy-mm-dd"/>
    <numFmt numFmtId="166" formatCode="0.###"/>
  </numFmts>
  <fonts count="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38554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76747"/>
      <name val="Calibri"/>
      <family val="2"/>
      <scheme val="minor"/>
    </font>
    <font>
      <sz val="11"/>
      <color rgb="FF165A84"/>
      <name val="Calibri"/>
      <family val="2"/>
      <scheme val="minor"/>
    </font>
    <font>
      <sz val="11"/>
      <color rgb="FF63532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6747"/>
        <bgColor indexed="64"/>
      </patternFill>
    </fill>
    <fill>
      <patternFill patternType="solid">
        <fgColor rgb="FFE9F3EC"/>
        <bgColor indexed="64"/>
      </patternFill>
    </fill>
    <fill>
      <patternFill patternType="solid">
        <fgColor rgb="FFFFF4D3"/>
        <bgColor indexed="64"/>
      </patternFill>
    </fill>
  </fills>
  <borders count="2">
    <border>
      <left/>
      <right/>
      <top/>
      <bottom/>
      <diagonal/>
    </border>
    <border>
      <left style="thin">
        <color rgb="FFD6E5DA"/>
      </left>
      <right style="thin">
        <color rgb="FFD6E5DA"/>
      </right>
      <top style="thin">
        <color rgb="FFD6E5DA"/>
      </top>
      <bottom style="thin">
        <color rgb="FFD6E5D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164" fontId="5" fillId="0" borderId="0" xfId="0" applyNumberFormat="1" applyFont="1" applyAlignment="1">
      <alignment vertical="center" wrapText="1"/>
    </xf>
    <xf numFmtId="165" fontId="5" fillId="0" borderId="0" xfId="0" applyNumberFormat="1" applyFont="1" applyAlignment="1">
      <alignment vertical="center"/>
    </xf>
    <xf numFmtId="166" fontId="6" fillId="4" borderId="0" xfId="0" applyNumberFormat="1" applyFont="1" applyFill="1" applyAlignment="1">
      <alignment vertical="center" wrapText="1"/>
    </xf>
    <xf numFmtId="166" fontId="5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ont>
        <color rgb="FF176747"/>
      </font>
      <fill>
        <patternFill>
          <bgColor rgb="FFDDF2E3"/>
        </patternFill>
      </fill>
    </dxf>
    <dxf>
      <font>
        <color rgb="FFA62C21"/>
      </font>
      <fill>
        <patternFill>
          <bgColor rgb="FFFCE6E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01" displayName="Data01" ref="A5:J19" totalsRowShown="0">
  <autoFilter ref="A5:J19"/>
  <tableColumns count="10">
    <tableColumn id="1" name="顺序"/>
    <tableColumn id="2" name="维护项目"/>
    <tableColumn id="3" name="是否需要"/>
    <tableColumn id="4" name="后台入口"/>
    <tableColumn id="5" name="具体要做什么"/>
    <tableColumn id="6" name="完成标准"/>
    <tableColumn id="7" name="负责人"/>
    <tableColumn id="8" name="计划完成日期"/>
    <tableColumn id="9" name="状态"/>
    <tableColumn id="10" name="备注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Data02" displayName="Data02" ref="A5:N105" totalsRowShown="0">
  <autoFilter ref="A5:N105"/>
  <tableColumns count="14">
    <tableColumn id="1" name="姓名*"/>
    <tableColumn id="2" name="唯一账号*"/>
    <tableColumn id="3" name="本人手机号*"/>
    <tableColumn id="4" name="管理员"/>
    <tableColumn id="5" name="后台管理员"/>
    <tableColumn id="6" name="司机"/>
    <tableColumn id="7" name="装菜人员"/>
    <tableColumn id="8" name="出库员"/>
    <tableColumn id="9" name="启用*"/>
    <tableColumn id="10" name="后台密码设置"/>
    <tableColumn id="11" name="微信绑定核对"/>
    <tableColumn id="12" name="后台维护状态"/>
    <tableColumn id="13" name="备注"/>
    <tableColumn id="14" name="填写检查（自动）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Data03" displayName="Data03" ref="A5:F105" totalsRowShown="0">
  <autoFilter ref="A5:F105"/>
  <tableColumns count="6">
    <tableColumn id="1" name="名称*"/>
    <tableColumn id="2" name="联系人（可选）"/>
    <tableColumn id="3" name="联系方式（可选）"/>
    <tableColumn id="4" name="启用*"/>
    <tableColumn id="5" name="后台维护状态"/>
    <tableColumn id="6" name="备注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Data04" displayName="Data04" ref="A5:H105" totalsRowShown="0">
  <autoFilter ref="A5:H105"/>
  <tableColumns count="8">
    <tableColumn id="1" name="名称*"/>
    <tableColumn id="2" name="库存单位*"/>
    <tableColumn id="3" name="规格（可选）"/>
    <tableColumn id="4" name="联系人（可选）"/>
    <tableColumn id="5" name="联系方式（可选）"/>
    <tableColumn id="6" name="启用*"/>
    <tableColumn id="7" name="后台维护状态"/>
    <tableColumn id="8" name="备注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Data05" displayName="Data05" ref="A5:H105" totalsRowShown="0">
  <autoFilter ref="A5:H105"/>
  <tableColumns count="8">
    <tableColumn id="1" name="名称*"/>
    <tableColumn id="2" name="库存单位*"/>
    <tableColumn id="3" name="规格（可选）"/>
    <tableColumn id="4" name="联系人（可选）"/>
    <tableColumn id="5" name="联系方式（可选）"/>
    <tableColumn id="6" name="启用*"/>
    <tableColumn id="7" name="后台维护状态"/>
    <tableColumn id="8" name="备注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Data06" displayName="Data06" ref="A5:F105" totalsRowShown="0">
  <autoFilter ref="A5:F105"/>
  <tableColumns count="6">
    <tableColumn id="1" name="名称*"/>
    <tableColumn id="2" name="联系人（可选）"/>
    <tableColumn id="3" name="联系方式（可选）"/>
    <tableColumn id="4" name="启用*"/>
    <tableColumn id="5" name="后台维护状态"/>
    <tableColumn id="6" name="备注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Data07" displayName="Data07" ref="A5:N105" totalsRowShown="0">
  <autoFilter ref="A5:N105"/>
  <tableColumns count="14">
    <tableColumn id="1" name="切账日期*"/>
    <tableColumn id="2" name="品类类别*"/>
    <tableColumn id="3" name="品类名称*"/>
    <tableColumn id="4" name="规格核对"/>
    <tableColumn id="5" name="库存单位*"/>
    <tableColumn id="6" name="仓库实盘数量*"/>
    <tableColumn id="7" name="系统已有仓库余额*"/>
    <tableColumn id="8" name="差额（自动）"/>
    <tableColumn id="9" name="处理方式*"/>
    <tableColumn id="10" name="核对说明/调整原因"/>
    <tableColumn id="11" name="复核人*"/>
    <tableColumn id="12" name="后台入账单号"/>
    <tableColumn id="13" name="执行状态"/>
    <tableColumn id="14" name="备注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Data08" displayName="Data08" ref="A5:O105" totalsRowShown="0">
  <autoFilter ref="A5:O105"/>
  <tableColumns count="15">
    <tableColumn id="1" name="棚户"/>
    <tableColumn id="2" name="原司机"/>
    <tableColumn id="3" name="原派发日期"/>
    <tableColumn id="4" name="包装品类"/>
    <tableColumn id="5" name="单位"/>
    <tableColumn id="6" name="原累计下发"/>
    <tableColumn id="7" name="已累计消耗"/>
    <tableColumn id="8" name="已累计回收"/>
    <tableColumn id="9" name="在外实有待回收"/>
    <tableColumn id="10" name="未入仓蔬菜情况"/>
    <tableColumn id="11" name="原系统批次/单号"/>
    <tableColumn id="12" name="切换处理方案"/>
    <tableColumn id="13" name="负责人"/>
    <tableColumn id="14" name="核对状态"/>
    <tableColumn id="15" name="备注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Data09" displayName="Data09" ref="A5:H17" totalsRowShown="0">
  <autoFilter ref="A5:H17"/>
  <tableColumns count="8">
    <tableColumn id="1" name="序号"/>
    <tableColumn id="2" name="核对项目"/>
    <tableColumn id="3" name="责任人类别"/>
    <tableColumn id="4" name="实际要验证什么"/>
    <tableColumn id="5" name="通过标准"/>
    <tableColumn id="6" name="负责人"/>
    <tableColumn id="7" name="核对结果"/>
    <tableColumn id="8" name="问题/处理安排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Data10" displayName="Data10" ref="A5:D19" totalsRowShown="0">
  <autoFilter ref="A5:D19"/>
  <tableColumns count="4">
    <tableColumn id="1" name="项目"/>
    <tableColumn id="2" name="示例填写"/>
    <tableColumn id="3" name="应当怎么理解"/>
    <tableColumn id="4" name="维护入口/注意事项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" TargetMode="External"/><Relationship Id="rId2" Type="http://schemas.openxmlformats.org/officeDocument/2006/relationships/hyperlink" Target="https://github.com/dw549659457-blip/wxcloudrun-dotnet/blob/main/docs/user-manual-1.2.2.m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users" TargetMode="External"/><Relationship Id="rId2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archives/growers" TargetMode="External"/><Relationship Id="rId2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archives/packaging-types" TargetMode="External"/><Relationship Id="rId2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archives/vegetable-types" TargetMode="External"/><Relationship Id="rId2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archives/customers" TargetMode="External"/><Relationship Id="rId2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stock" TargetMode="External"/><Relationship Id="rId2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batches" TargetMode="External"/><Relationship Id="rId2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D21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5.7109375" customWidth="1"/>
    <col min="2" max="2" width="24.7109375" customWidth="1"/>
    <col min="3" max="3" width="40.7109375" customWidth="1"/>
    <col min="4" max="4" width="47.7109375" customWidth="1"/>
  </cols>
  <sheetData>
    <row r="1" spans="1:4" ht="42" customHeight="1">
      <c r="A1" s="1" t="s">
        <v>41</v>
      </c>
      <c r="B1" s="1"/>
      <c r="C1" s="1"/>
      <c r="D1" s="1"/>
    </row>
    <row r="2" spans="1:4" ht="36" customHeight="1">
      <c r="A2" s="2" t="s">
        <v>42</v>
      </c>
      <c r="B2" s="2"/>
      <c r="C2" s="2"/>
      <c r="D2" s="2"/>
    </row>
    <row r="3" spans="1:4" ht="44" customHeight="1">
      <c r="A3" s="2" t="s">
        <v>43</v>
      </c>
      <c r="B3" s="2"/>
      <c r="C3" s="2"/>
      <c r="D3" s="2"/>
    </row>
    <row r="5" spans="1:4" ht="32" customHeight="1">
      <c r="A5" s="3" t="s">
        <v>44</v>
      </c>
      <c r="B5" s="3" t="s">
        <v>45</v>
      </c>
      <c r="C5" s="3" t="s">
        <v>46</v>
      </c>
      <c r="D5" s="3" t="s">
        <v>47</v>
      </c>
    </row>
    <row r="6" spans="1:4" ht="62" customHeight="1">
      <c r="A6" s="4">
        <v>1</v>
      </c>
      <c r="B6" s="4" t="s">
        <v>48</v>
      </c>
      <c r="C6" s="4" t="s">
        <v>49</v>
      </c>
      <c r="D6" s="4" t="s">
        <v>50</v>
      </c>
    </row>
    <row r="7" spans="1:4" ht="62" customHeight="1">
      <c r="A7" s="4">
        <v>2</v>
      </c>
      <c r="B7" s="4" t="s">
        <v>51</v>
      </c>
      <c r="C7" s="4" t="s">
        <v>52</v>
      </c>
      <c r="D7" s="4" t="s">
        <v>53</v>
      </c>
    </row>
    <row r="8" spans="1:4" ht="62" customHeight="1">
      <c r="A8" s="4">
        <v>3</v>
      </c>
      <c r="B8" s="4" t="s">
        <v>54</v>
      </c>
      <c r="C8" s="4" t="s">
        <v>55</v>
      </c>
      <c r="D8" s="4" t="s">
        <v>56</v>
      </c>
    </row>
    <row r="9" spans="1:4" ht="62" customHeight="1">
      <c r="A9" s="4">
        <v>4</v>
      </c>
      <c r="B9" s="4" t="s">
        <v>57</v>
      </c>
      <c r="C9" s="4" t="s">
        <v>58</v>
      </c>
      <c r="D9" s="4" t="s">
        <v>59</v>
      </c>
    </row>
    <row r="10" spans="1:4" ht="62" customHeight="1">
      <c r="A10" s="4">
        <v>5</v>
      </c>
      <c r="B10" s="4" t="s">
        <v>60</v>
      </c>
      <c r="C10" s="4" t="s">
        <v>61</v>
      </c>
      <c r="D10" s="4" t="s">
        <v>62</v>
      </c>
    </row>
    <row r="11" spans="1:4" ht="62" customHeight="1">
      <c r="A11" s="4">
        <v>6</v>
      </c>
      <c r="B11" s="4" t="s">
        <v>63</v>
      </c>
      <c r="C11" s="4" t="s">
        <v>64</v>
      </c>
      <c r="D11" s="4" t="s">
        <v>65</v>
      </c>
    </row>
    <row r="12" spans="1:4" ht="62" customHeight="1">
      <c r="A12" s="4">
        <v>7</v>
      </c>
      <c r="B12" s="4" t="s">
        <v>66</v>
      </c>
      <c r="C12" s="4" t="s">
        <v>67</v>
      </c>
      <c r="D12" s="4" t="s">
        <v>68</v>
      </c>
    </row>
    <row r="13" spans="1:4" ht="62" customHeight="1">
      <c r="A13" s="4">
        <v>8</v>
      </c>
      <c r="B13" s="4" t="s">
        <v>69</v>
      </c>
      <c r="C13" s="4" t="s">
        <v>70</v>
      </c>
      <c r="D13" s="4" t="s">
        <v>71</v>
      </c>
    </row>
    <row r="15" spans="1:4" ht="36" customHeight="1">
      <c r="A15" s="2" t="s">
        <v>72</v>
      </c>
      <c r="B15" s="2"/>
      <c r="C15" s="2"/>
      <c r="D15" s="2"/>
    </row>
    <row r="17" spans="1:4" ht="42" customHeight="1">
      <c r="A17" s="2" t="s">
        <v>73</v>
      </c>
      <c r="B17" s="2"/>
      <c r="C17" s="2"/>
      <c r="D17" s="2"/>
    </row>
    <row r="19" spans="1:4" ht="42" customHeight="1">
      <c r="A19" s="2" t="s">
        <v>74</v>
      </c>
      <c r="B19" s="2"/>
      <c r="C19" s="2"/>
      <c r="D19" s="2"/>
    </row>
    <row r="21" spans="1:4">
      <c r="B21" s="5" t="s">
        <v>75</v>
      </c>
      <c r="C21" s="5" t="s">
        <v>76</v>
      </c>
      <c r="D21" s="5" t="s">
        <v>77</v>
      </c>
    </row>
  </sheetData>
  <mergeCells count="6">
    <mergeCell ref="A1:D1"/>
    <mergeCell ref="A2:D2"/>
    <mergeCell ref="A3:D3"/>
    <mergeCell ref="A15:D15"/>
    <mergeCell ref="A17:D17"/>
    <mergeCell ref="A19:D19"/>
  </mergeCells>
  <hyperlinks>
    <hyperlink ref="B21" location="'01维护清单'!A1" display="从维护清单开始"/>
    <hyperlink ref="C21" r:id="rId1"/>
    <hyperlink ref="D21" r:id="rId2"/>
  </hyperlink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J19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7.7109375" style="6" customWidth="1"/>
    <col min="2" max="2" width="22.7109375" style="6" customWidth="1"/>
    <col min="3" max="3" width="18.7109375" style="6" customWidth="1"/>
    <col min="4" max="4" width="30.7109375" style="6" customWidth="1"/>
    <col min="5" max="5" width="50.7109375" style="6" customWidth="1"/>
    <col min="6" max="6" width="48.7109375" style="6" customWidth="1"/>
    <col min="7" max="7" width="16.7109375" style="6" customWidth="1"/>
    <col min="8" max="8" width="17.7109375" style="7" customWidth="1"/>
    <col min="9" max="9" width="16.7109375" style="6" customWidth="1"/>
    <col min="10" max="10" width="35.7109375" style="6" customWidth="1"/>
  </cols>
  <sheetData>
    <row r="1" spans="1:10" ht="36" customHeight="1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</row>
    <row r="3" spans="1:10" ht="38" customHeight="1">
      <c r="A3" s="2" t="s">
        <v>80</v>
      </c>
      <c r="B3" s="2"/>
      <c r="C3" s="2"/>
      <c r="D3" s="2"/>
      <c r="E3" s="2"/>
      <c r="F3" s="2"/>
      <c r="G3" s="2"/>
      <c r="H3" s="2"/>
      <c r="I3" s="2"/>
      <c r="J3" s="2"/>
    </row>
    <row r="5" spans="1:10" ht="44" customHeight="1">
      <c r="A5" s="3" t="s">
        <v>44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47</v>
      </c>
      <c r="G5" s="3" t="s">
        <v>85</v>
      </c>
      <c r="H5" s="3" t="s">
        <v>86</v>
      </c>
      <c r="I5" s="3" t="s">
        <v>87</v>
      </c>
      <c r="J5" s="3" t="s">
        <v>88</v>
      </c>
    </row>
    <row r="6" spans="1:10" ht="66" customHeight="1">
      <c r="A6" s="4" t="s">
        <v>89</v>
      </c>
      <c r="B6" s="4" t="s">
        <v>90</v>
      </c>
      <c r="C6" s="4" t="s">
        <v>91</v>
      </c>
      <c r="D6" s="4" t="s">
        <v>92</v>
      </c>
      <c r="E6" s="4" t="s">
        <v>93</v>
      </c>
      <c r="F6" s="4" t="s">
        <v>94</v>
      </c>
      <c r="G6" s="6"/>
      <c r="H6" s="7"/>
      <c r="I6" s="6"/>
      <c r="J6" s="6"/>
    </row>
    <row r="7" spans="1:10" ht="66" customHeight="1">
      <c r="A7" s="4" t="s">
        <v>95</v>
      </c>
      <c r="B7" s="4" t="s">
        <v>96</v>
      </c>
      <c r="C7" s="4" t="s">
        <v>97</v>
      </c>
      <c r="D7" s="4" t="s">
        <v>92</v>
      </c>
      <c r="E7" s="4" t="s">
        <v>98</v>
      </c>
      <c r="F7" s="4" t="s">
        <v>99</v>
      </c>
      <c r="G7" s="6"/>
      <c r="H7" s="7"/>
      <c r="I7" s="6"/>
      <c r="J7" s="6"/>
    </row>
    <row r="8" spans="1:10" ht="66" customHeight="1">
      <c r="A8" s="4" t="s">
        <v>100</v>
      </c>
      <c r="B8" s="4" t="s">
        <v>101</v>
      </c>
      <c r="C8" s="4" t="s">
        <v>102</v>
      </c>
      <c r="D8" s="4" t="s">
        <v>92</v>
      </c>
      <c r="E8" s="4" t="s">
        <v>103</v>
      </c>
      <c r="F8" s="4" t="s">
        <v>104</v>
      </c>
      <c r="G8" s="6"/>
      <c r="H8" s="7"/>
      <c r="I8" s="6"/>
      <c r="J8" s="6"/>
    </row>
    <row r="9" spans="1:10" ht="66" customHeight="1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6"/>
      <c r="H9" s="7"/>
      <c r="I9" s="6"/>
      <c r="J9" s="6"/>
    </row>
    <row r="10" spans="1:10" ht="66" customHeight="1">
      <c r="A10" s="4" t="s">
        <v>111</v>
      </c>
      <c r="B10" s="4" t="s">
        <v>112</v>
      </c>
      <c r="C10" s="4" t="s">
        <v>113</v>
      </c>
      <c r="D10" s="4" t="s">
        <v>114</v>
      </c>
      <c r="E10" s="4" t="s">
        <v>115</v>
      </c>
      <c r="F10" s="4" t="s">
        <v>116</v>
      </c>
      <c r="G10" s="6"/>
      <c r="H10" s="7"/>
      <c r="I10" s="6"/>
      <c r="J10" s="6"/>
    </row>
    <row r="11" spans="1:10" ht="66" customHeight="1">
      <c r="A11" s="4" t="s">
        <v>117</v>
      </c>
      <c r="B11" s="4" t="s">
        <v>118</v>
      </c>
      <c r="C11" s="4" t="s">
        <v>119</v>
      </c>
      <c r="D11" s="4" t="s">
        <v>120</v>
      </c>
      <c r="E11" s="4" t="s">
        <v>121</v>
      </c>
      <c r="F11" s="4" t="s">
        <v>122</v>
      </c>
      <c r="G11" s="6"/>
      <c r="H11" s="7"/>
      <c r="I11" s="6"/>
      <c r="J11" s="6"/>
    </row>
    <row r="12" spans="1:10" ht="66" customHeight="1">
      <c r="A12" s="4" t="s">
        <v>123</v>
      </c>
      <c r="B12" s="4" t="s">
        <v>124</v>
      </c>
      <c r="C12" s="4" t="s">
        <v>125</v>
      </c>
      <c r="D12" s="4" t="s">
        <v>126</v>
      </c>
      <c r="E12" s="4" t="s">
        <v>127</v>
      </c>
      <c r="F12" s="4" t="s">
        <v>128</v>
      </c>
      <c r="G12" s="6"/>
      <c r="H12" s="7"/>
      <c r="I12" s="6"/>
      <c r="J12" s="6"/>
    </row>
    <row r="13" spans="1:10" ht="66" customHeight="1">
      <c r="A13" s="4" t="s">
        <v>129</v>
      </c>
      <c r="B13" s="4" t="s">
        <v>130</v>
      </c>
      <c r="C13" s="4" t="s">
        <v>91</v>
      </c>
      <c r="D13" s="4" t="s">
        <v>131</v>
      </c>
      <c r="E13" s="4" t="s">
        <v>132</v>
      </c>
      <c r="F13" s="4" t="s">
        <v>133</v>
      </c>
      <c r="G13" s="6"/>
      <c r="H13" s="7"/>
      <c r="I13" s="6"/>
      <c r="J13" s="6"/>
    </row>
    <row r="14" spans="1:10" ht="66" customHeight="1">
      <c r="A14" s="4" t="s">
        <v>134</v>
      </c>
      <c r="B14" s="4" t="s">
        <v>135</v>
      </c>
      <c r="C14" s="4" t="s">
        <v>91</v>
      </c>
      <c r="D14" s="4" t="s">
        <v>136</v>
      </c>
      <c r="E14" s="4" t="s">
        <v>137</v>
      </c>
      <c r="F14" s="4" t="s">
        <v>138</v>
      </c>
      <c r="G14" s="6"/>
      <c r="H14" s="7"/>
      <c r="I14" s="6"/>
      <c r="J14" s="6"/>
    </row>
    <row r="15" spans="1:10" ht="66" customHeight="1">
      <c r="A15" s="4" t="s">
        <v>139</v>
      </c>
      <c r="B15" s="4" t="s">
        <v>140</v>
      </c>
      <c r="C15" s="4" t="s">
        <v>141</v>
      </c>
      <c r="D15" s="4" t="s">
        <v>142</v>
      </c>
      <c r="E15" s="4" t="s">
        <v>143</v>
      </c>
      <c r="F15" s="4" t="s">
        <v>144</v>
      </c>
      <c r="G15" s="6"/>
      <c r="H15" s="7"/>
      <c r="I15" s="6"/>
      <c r="J15" s="6"/>
    </row>
    <row r="16" spans="1:10" ht="66" customHeight="1">
      <c r="A16" s="4" t="s">
        <v>145</v>
      </c>
      <c r="B16" s="4" t="s">
        <v>146</v>
      </c>
      <c r="C16" s="4" t="s">
        <v>147</v>
      </c>
      <c r="D16" s="4" t="s">
        <v>148</v>
      </c>
      <c r="E16" s="4" t="s">
        <v>149</v>
      </c>
      <c r="F16" s="4" t="s">
        <v>150</v>
      </c>
      <c r="G16" s="6"/>
      <c r="H16" s="7"/>
      <c r="I16" s="6"/>
      <c r="J16" s="6"/>
    </row>
    <row r="17" spans="1:10" ht="66" customHeight="1">
      <c r="A17" s="4" t="s">
        <v>151</v>
      </c>
      <c r="B17" s="4" t="s">
        <v>152</v>
      </c>
      <c r="C17" s="4" t="s">
        <v>153</v>
      </c>
      <c r="D17" s="4" t="s">
        <v>154</v>
      </c>
      <c r="E17" s="4" t="s">
        <v>155</v>
      </c>
      <c r="F17" s="4" t="s">
        <v>156</v>
      </c>
      <c r="G17" s="6"/>
      <c r="H17" s="7"/>
      <c r="I17" s="6"/>
      <c r="J17" s="6"/>
    </row>
    <row r="18" spans="1:10" ht="66" customHeight="1">
      <c r="A18" s="4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6"/>
      <c r="H18" s="7"/>
      <c r="I18" s="6"/>
      <c r="J18" s="6"/>
    </row>
    <row r="19" spans="1:10" ht="66" customHeight="1">
      <c r="A19" s="4" t="s">
        <v>163</v>
      </c>
      <c r="B19" s="4" t="s">
        <v>164</v>
      </c>
      <c r="C19" s="4" t="s">
        <v>165</v>
      </c>
      <c r="D19" s="4" t="s">
        <v>166</v>
      </c>
      <c r="E19" s="4" t="s">
        <v>167</v>
      </c>
      <c r="F19" s="4" t="s">
        <v>168</v>
      </c>
      <c r="G19" s="6"/>
      <c r="H19" s="7"/>
      <c r="I19" s="6"/>
      <c r="J19" s="6"/>
    </row>
  </sheetData>
  <mergeCells count="3">
    <mergeCell ref="A1:J1"/>
    <mergeCell ref="A2:J2"/>
    <mergeCell ref="A3:J3"/>
  </mergeCells>
  <dataValidations count="1">
    <dataValidation type="list" allowBlank="1" showInputMessage="1" showErrorMessage="1" errorTitle="请选择下拉项" error="请从下拉列表选择，不要自行修改选项文字。" sqref="I6:I19">
      <formula1>maint_status</formula1>
    </dataValidation>
  </dataValidations>
  <pageMargins left="0.3" right="0.3" top="0.4" bottom="0.4" header="0.3" footer="0.3"/>
  <pageSetup paperSize="8" fitToHeight="0" orientation="landscape"/>
  <headerFooter>
    <oddFooter>&amp;L棚户记账 · 基础数据维护1.2.2&amp;R第 &amp;P 页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N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8.7109375" style="6" customWidth="1"/>
    <col min="2" max="2" width="23.7109375" style="6" customWidth="1"/>
    <col min="3" max="3" width="19.7109375" style="6" customWidth="1"/>
    <col min="4" max="4" width="9.7109375" style="6" customWidth="1"/>
    <col min="5" max="6" width="8.7109375" style="6" customWidth="1"/>
    <col min="7" max="7" width="11.7109375" style="6" customWidth="1"/>
    <col min="8" max="9" width="9.7109375" style="6" customWidth="1"/>
    <col min="10" max="11" width="21.7109375" style="6" customWidth="1"/>
    <col min="12" max="12" width="17.7109375" style="6" customWidth="1"/>
    <col min="13" max="13" width="36.7109375" style="6" customWidth="1"/>
    <col min="14" max="14" width="19.7109375" style="6" customWidth="1"/>
  </cols>
  <sheetData>
    <row r="1" spans="1:14" ht="36" customHeight="1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2" customHeight="1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8" customHeight="1">
      <c r="A3" s="2" t="s">
        <v>171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5" t="s">
        <v>172</v>
      </c>
    </row>
    <row r="5" spans="1:14" ht="44" customHeight="1">
      <c r="A5" s="3" t="s">
        <v>173</v>
      </c>
      <c r="B5" s="3" t="s">
        <v>174</v>
      </c>
      <c r="C5" s="3" t="s">
        <v>175</v>
      </c>
      <c r="D5" s="3" t="s">
        <v>176</v>
      </c>
      <c r="E5" s="3" t="s">
        <v>177</v>
      </c>
      <c r="F5" s="3" t="s">
        <v>178</v>
      </c>
      <c r="G5" s="3" t="s">
        <v>179</v>
      </c>
      <c r="H5" s="3" t="s">
        <v>180</v>
      </c>
      <c r="I5" s="3" t="s">
        <v>181</v>
      </c>
      <c r="J5" s="3" t="s">
        <v>182</v>
      </c>
      <c r="K5" s="3" t="s">
        <v>183</v>
      </c>
      <c r="L5" s="3" t="s">
        <v>184</v>
      </c>
      <c r="M5" s="3" t="s">
        <v>88</v>
      </c>
      <c r="N5" s="3" t="s">
        <v>185</v>
      </c>
    </row>
    <row r="6" spans="1:14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8">
        <f>IF(COUNTA(A6:C6)=0,"",IF(OR(A6="",B6="",NOT(AND(ISTEXT(C6),LEN(C6)=11,SUMPRODUCT(--ISNUMBER(FIND(MID(C6,ROW($1:$11),1),"0123456789")))=11,LEFT(C6,1)="1",ISNUMBER(FIND(MID(C6,2,1),"3456789")))),COUNTIF(D6:H6,"是")=0,I6="",AND(OR(D6="是",E6="是"),NOT(OR(J6="已单独设置",J6="保持原密码"))),COUNTIF($B$6:$B$105,B6)&gt;1,COUNTIF($C$6:$C$105,C6)&gt;1),"待完善","可维护"))</f>
        <v/>
      </c>
    </row>
    <row r="7" spans="1:14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>
        <f>IF(COUNTA(A7:C7)=0,"",IF(OR(A7="",B7="",NOT(AND(ISTEXT(C7),LEN(C7)=11,SUMPRODUCT(--ISNUMBER(FIND(MID(C7,ROW($1:$11),1),"0123456789")))=11,LEFT(C7,1)="1",ISNUMBER(FIND(MID(C7,2,1),"3456789")))),COUNTIF(D7:H7,"是")=0,I7="",AND(OR(D7="是",E7="是"),NOT(OR(J7="已单独设置",J7="保持原密码"))),COUNTIF($B$6:$B$105,B7)&gt;1,COUNTIF($C$6:$C$105,C7)&gt;1),"待完善","可维护"))</f>
        <v/>
      </c>
    </row>
    <row r="8" spans="1:14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8">
        <f>IF(COUNTA(A8:C8)=0,"",IF(OR(A8="",B8="",NOT(AND(ISTEXT(C8),LEN(C8)=11,SUMPRODUCT(--ISNUMBER(FIND(MID(C8,ROW($1:$11),1),"0123456789")))=11,LEFT(C8,1)="1",ISNUMBER(FIND(MID(C8,2,1),"3456789")))),COUNTIF(D8:H8,"是")=0,I8="",AND(OR(D8="是",E8="是"),NOT(OR(J8="已单独设置",J8="保持原密码"))),COUNTIF($B$6:$B$105,B8)&gt;1,COUNTIF($C$6:$C$105,C8)&gt;1),"待完善","可维护"))</f>
        <v/>
      </c>
    </row>
    <row r="9" spans="1:1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8">
        <f>IF(COUNTA(A9:C9)=0,"",IF(OR(A9="",B9="",NOT(AND(ISTEXT(C9),LEN(C9)=11,SUMPRODUCT(--ISNUMBER(FIND(MID(C9,ROW($1:$11),1),"0123456789")))=11,LEFT(C9,1)="1",ISNUMBER(FIND(MID(C9,2,1),"3456789")))),COUNTIF(D9:H9,"是")=0,I9="",AND(OR(D9="是",E9="是"),NOT(OR(J9="已单独设置",J9="保持原密码"))),COUNTIF($B$6:$B$105,B9)&gt;1,COUNTIF($C$6:$C$105,C9)&gt;1),"待完善","可维护"))</f>
        <v/>
      </c>
    </row>
    <row r="10" spans="1:1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8">
        <f>IF(COUNTA(A10:C10)=0,"",IF(OR(A10="",B10="",NOT(AND(ISTEXT(C10),LEN(C10)=11,SUMPRODUCT(--ISNUMBER(FIND(MID(C10,ROW($1:$11),1),"0123456789")))=11,LEFT(C10,1)="1",ISNUMBER(FIND(MID(C10,2,1),"3456789")))),COUNTIF(D10:H10,"是")=0,I10="",AND(OR(D10="是",E10="是"),NOT(OR(J10="已单独设置",J10="保持原密码"))),COUNTIF($B$6:$B$105,B10)&gt;1,COUNTIF($C$6:$C$105,C10)&gt;1),"待完善","可维护"))</f>
        <v/>
      </c>
    </row>
    <row r="11" spans="1:1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8">
        <f>IF(COUNTA(A11:C11)=0,"",IF(OR(A11="",B11="",NOT(AND(ISTEXT(C11),LEN(C11)=11,SUMPRODUCT(--ISNUMBER(FIND(MID(C11,ROW($1:$11),1),"0123456789")))=11,LEFT(C11,1)="1",ISNUMBER(FIND(MID(C11,2,1),"3456789")))),COUNTIF(D11:H11,"是")=0,I11="",AND(OR(D11="是",E11="是"),NOT(OR(J11="已单独设置",J11="保持原密码"))),COUNTIF($B$6:$B$105,B11)&gt;1,COUNTIF($C$6:$C$105,C11)&gt;1),"待完善","可维护"))</f>
        <v/>
      </c>
    </row>
    <row r="12" spans="1:1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8">
        <f>IF(COUNTA(A12:C12)=0,"",IF(OR(A12="",B12="",NOT(AND(ISTEXT(C12),LEN(C12)=11,SUMPRODUCT(--ISNUMBER(FIND(MID(C12,ROW($1:$11),1),"0123456789")))=11,LEFT(C12,1)="1",ISNUMBER(FIND(MID(C12,2,1),"3456789")))),COUNTIF(D12:H12,"是")=0,I12="",AND(OR(D12="是",E12="是"),NOT(OR(J12="已单独设置",J12="保持原密码"))),COUNTIF($B$6:$B$105,B12)&gt;1,COUNTIF($C$6:$C$105,C12)&gt;1),"待完善","可维护"))</f>
        <v/>
      </c>
    </row>
    <row r="13" spans="1:1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8">
        <f>IF(COUNTA(A13:C13)=0,"",IF(OR(A13="",B13="",NOT(AND(ISTEXT(C13),LEN(C13)=11,SUMPRODUCT(--ISNUMBER(FIND(MID(C13,ROW($1:$11),1),"0123456789")))=11,LEFT(C13,1)="1",ISNUMBER(FIND(MID(C13,2,1),"3456789")))),COUNTIF(D13:H13,"是")=0,I13="",AND(OR(D13="是",E13="是"),NOT(OR(J13="已单独设置",J13="保持原密码"))),COUNTIF($B$6:$B$105,B13)&gt;1,COUNTIF($C$6:$C$105,C13)&gt;1),"待完善","可维护"))</f>
        <v/>
      </c>
    </row>
    <row r="14" spans="1: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>
        <f>IF(COUNTA(A14:C14)=0,"",IF(OR(A14="",B14="",NOT(AND(ISTEXT(C14),LEN(C14)=11,SUMPRODUCT(--ISNUMBER(FIND(MID(C14,ROW($1:$11),1),"0123456789")))=11,LEFT(C14,1)="1",ISNUMBER(FIND(MID(C14,2,1),"3456789")))),COUNTIF(D14:H14,"是")=0,I14="",AND(OR(D14="是",E14="是"),NOT(OR(J14="已单独设置",J14="保持原密码"))),COUNTIF($B$6:$B$105,B14)&gt;1,COUNTIF($C$6:$C$105,C14)&gt;1),"待完善","可维护"))</f>
        <v/>
      </c>
    </row>
    <row r="15" spans="1:1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>
        <f>IF(COUNTA(A15:C15)=0,"",IF(OR(A15="",B15="",NOT(AND(ISTEXT(C15),LEN(C15)=11,SUMPRODUCT(--ISNUMBER(FIND(MID(C15,ROW($1:$11),1),"0123456789")))=11,LEFT(C15,1)="1",ISNUMBER(FIND(MID(C15,2,1),"3456789")))),COUNTIF(D15:H15,"是")=0,I15="",AND(OR(D15="是",E15="是"),NOT(OR(J15="已单独设置",J15="保持原密码"))),COUNTIF($B$6:$B$105,B15)&gt;1,COUNTIF($C$6:$C$105,C15)&gt;1),"待完善","可维护"))</f>
        <v/>
      </c>
    </row>
    <row r="16" spans="1:1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8">
        <f>IF(COUNTA(A16:C16)=0,"",IF(OR(A16="",B16="",NOT(AND(ISTEXT(C16),LEN(C16)=11,SUMPRODUCT(--ISNUMBER(FIND(MID(C16,ROW($1:$11),1),"0123456789")))=11,LEFT(C16,1)="1",ISNUMBER(FIND(MID(C16,2,1),"3456789")))),COUNTIF(D16:H16,"是")=0,I16="",AND(OR(D16="是",E16="是"),NOT(OR(J16="已单独设置",J16="保持原密码"))),COUNTIF($B$6:$B$105,B16)&gt;1,COUNTIF($C$6:$C$105,C16)&gt;1),"待完善","可维护"))</f>
        <v/>
      </c>
    </row>
    <row r="17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8">
        <f>IF(COUNTA(A17:C17)=0,"",IF(OR(A17="",B17="",NOT(AND(ISTEXT(C17),LEN(C17)=11,SUMPRODUCT(--ISNUMBER(FIND(MID(C17,ROW($1:$11),1),"0123456789")))=11,LEFT(C17,1)="1",ISNUMBER(FIND(MID(C17,2,1),"3456789")))),COUNTIF(D17:H17,"是")=0,I17="",AND(OR(D17="是",E17="是"),NOT(OR(J17="已单独设置",J17="保持原密码"))),COUNTIF($B$6:$B$105,B17)&gt;1,COUNTIF($C$6:$C$105,C17)&gt;1),"待完善","可维护"))</f>
        <v/>
      </c>
    </row>
    <row r="18" spans="1:1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8">
        <f>IF(COUNTA(A18:C18)=0,"",IF(OR(A18="",B18="",NOT(AND(ISTEXT(C18),LEN(C18)=11,SUMPRODUCT(--ISNUMBER(FIND(MID(C18,ROW($1:$11),1),"0123456789")))=11,LEFT(C18,1)="1",ISNUMBER(FIND(MID(C18,2,1),"3456789")))),COUNTIF(D18:H18,"是")=0,I18="",AND(OR(D18="是",E18="是"),NOT(OR(J18="已单独设置",J18="保持原密码"))),COUNTIF($B$6:$B$105,B18)&gt;1,COUNTIF($C$6:$C$105,C18)&gt;1),"待完善","可维护"))</f>
        <v/>
      </c>
    </row>
    <row r="19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8">
        <f>IF(COUNTA(A19:C19)=0,"",IF(OR(A19="",B19="",NOT(AND(ISTEXT(C19),LEN(C19)=11,SUMPRODUCT(--ISNUMBER(FIND(MID(C19,ROW($1:$11),1),"0123456789")))=11,LEFT(C19,1)="1",ISNUMBER(FIND(MID(C19,2,1),"3456789")))),COUNTIF(D19:H19,"是")=0,I19="",AND(OR(D19="是",E19="是"),NOT(OR(J19="已单独设置",J19="保持原密码"))),COUNTIF($B$6:$B$105,B19)&gt;1,COUNTIF($C$6:$C$105,C19)&gt;1),"待完善","可维护"))</f>
        <v/>
      </c>
    </row>
    <row r="20" spans="1:1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8">
        <f>IF(COUNTA(A20:C20)=0,"",IF(OR(A20="",B20="",NOT(AND(ISTEXT(C20),LEN(C20)=11,SUMPRODUCT(--ISNUMBER(FIND(MID(C20,ROW($1:$11),1),"0123456789")))=11,LEFT(C20,1)="1",ISNUMBER(FIND(MID(C20,2,1),"3456789")))),COUNTIF(D20:H20,"是")=0,I20="",AND(OR(D20="是",E20="是"),NOT(OR(J20="已单独设置",J20="保持原密码"))),COUNTIF($B$6:$B$105,B20)&gt;1,COUNTIF($C$6:$C$105,C20)&gt;1),"待完善","可维护"))</f>
        <v/>
      </c>
    </row>
    <row r="21" spans="1:1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8">
        <f>IF(COUNTA(A21:C21)=0,"",IF(OR(A21="",B21="",NOT(AND(ISTEXT(C21),LEN(C21)=11,SUMPRODUCT(--ISNUMBER(FIND(MID(C21,ROW($1:$11),1),"0123456789")))=11,LEFT(C21,1)="1",ISNUMBER(FIND(MID(C21,2,1),"3456789")))),COUNTIF(D21:H21,"是")=0,I21="",AND(OR(D21="是",E21="是"),NOT(OR(J21="已单独设置",J21="保持原密码"))),COUNTIF($B$6:$B$105,B21)&gt;1,COUNTIF($C$6:$C$105,C21)&gt;1),"待完善","可维护"))</f>
        <v/>
      </c>
    </row>
    <row r="22" spans="1:1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>
        <f>IF(COUNTA(A22:C22)=0,"",IF(OR(A22="",B22="",NOT(AND(ISTEXT(C22),LEN(C22)=11,SUMPRODUCT(--ISNUMBER(FIND(MID(C22,ROW($1:$11),1),"0123456789")))=11,LEFT(C22,1)="1",ISNUMBER(FIND(MID(C22,2,1),"3456789")))),COUNTIF(D22:H22,"是")=0,I22="",AND(OR(D22="是",E22="是"),NOT(OR(J22="已单独设置",J22="保持原密码"))),COUNTIF($B$6:$B$105,B22)&gt;1,COUNTIF($C$6:$C$105,C22)&gt;1),"待完善","可维护"))</f>
        <v/>
      </c>
    </row>
    <row r="23" spans="1:1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8">
        <f>IF(COUNTA(A23:C23)=0,"",IF(OR(A23="",B23="",NOT(AND(ISTEXT(C23),LEN(C23)=11,SUMPRODUCT(--ISNUMBER(FIND(MID(C23,ROW($1:$11),1),"0123456789")))=11,LEFT(C23,1)="1",ISNUMBER(FIND(MID(C23,2,1),"3456789")))),COUNTIF(D23:H23,"是")=0,I23="",AND(OR(D23="是",E23="是"),NOT(OR(J23="已单独设置",J23="保持原密码"))),COUNTIF($B$6:$B$105,B23)&gt;1,COUNTIF($C$6:$C$105,C23)&gt;1),"待完善","可维护"))</f>
        <v/>
      </c>
    </row>
    <row r="24" spans="1:1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">
        <f>IF(COUNTA(A24:C24)=0,"",IF(OR(A24="",B24="",NOT(AND(ISTEXT(C24),LEN(C24)=11,SUMPRODUCT(--ISNUMBER(FIND(MID(C24,ROW($1:$11),1),"0123456789")))=11,LEFT(C24,1)="1",ISNUMBER(FIND(MID(C24,2,1),"3456789")))),COUNTIF(D24:H24,"是")=0,I24="",AND(OR(D24="是",E24="是"),NOT(OR(J24="已单独设置",J24="保持原密码"))),COUNTIF($B$6:$B$105,B24)&gt;1,COUNTIF($C$6:$C$105,C24)&gt;1),"待完善","可维护"))</f>
        <v/>
      </c>
    </row>
    <row r="25" spans="1:1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8">
        <f>IF(COUNTA(A25:C25)=0,"",IF(OR(A25="",B25="",NOT(AND(ISTEXT(C25),LEN(C25)=11,SUMPRODUCT(--ISNUMBER(FIND(MID(C25,ROW($1:$11),1),"0123456789")))=11,LEFT(C25,1)="1",ISNUMBER(FIND(MID(C25,2,1),"3456789")))),COUNTIF(D25:H25,"是")=0,I25="",AND(OR(D25="是",E25="是"),NOT(OR(J25="已单独设置",J25="保持原密码"))),COUNTIF($B$6:$B$105,B25)&gt;1,COUNTIF($C$6:$C$105,C25)&gt;1),"待完善","可维护"))</f>
        <v/>
      </c>
    </row>
    <row r="26" spans="1:1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8">
        <f>IF(COUNTA(A26:C26)=0,"",IF(OR(A26="",B26="",NOT(AND(ISTEXT(C26),LEN(C26)=11,SUMPRODUCT(--ISNUMBER(FIND(MID(C26,ROW($1:$11),1),"0123456789")))=11,LEFT(C26,1)="1",ISNUMBER(FIND(MID(C26,2,1),"3456789")))),COUNTIF(D26:H26,"是")=0,I26="",AND(OR(D26="是",E26="是"),NOT(OR(J26="已单独设置",J26="保持原密码"))),COUNTIF($B$6:$B$105,B26)&gt;1,COUNTIF($C$6:$C$105,C26)&gt;1),"待完善","可维护"))</f>
        <v/>
      </c>
    </row>
    <row r="27" spans="1:1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8">
        <f>IF(COUNTA(A27:C27)=0,"",IF(OR(A27="",B27="",NOT(AND(ISTEXT(C27),LEN(C27)=11,SUMPRODUCT(--ISNUMBER(FIND(MID(C27,ROW($1:$11),1),"0123456789")))=11,LEFT(C27,1)="1",ISNUMBER(FIND(MID(C27,2,1),"3456789")))),COUNTIF(D27:H27,"是")=0,I27="",AND(OR(D27="是",E27="是"),NOT(OR(J27="已单独设置",J27="保持原密码"))),COUNTIF($B$6:$B$105,B27)&gt;1,COUNTIF($C$6:$C$105,C27)&gt;1),"待完善","可维护"))</f>
        <v/>
      </c>
    </row>
    <row r="28" spans="1:1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8">
        <f>IF(COUNTA(A28:C28)=0,"",IF(OR(A28="",B28="",NOT(AND(ISTEXT(C28),LEN(C28)=11,SUMPRODUCT(--ISNUMBER(FIND(MID(C28,ROW($1:$11),1),"0123456789")))=11,LEFT(C28,1)="1",ISNUMBER(FIND(MID(C28,2,1),"3456789")))),COUNTIF(D28:H28,"是")=0,I28="",AND(OR(D28="是",E28="是"),NOT(OR(J28="已单独设置",J28="保持原密码"))),COUNTIF($B$6:$B$105,B28)&gt;1,COUNTIF($C$6:$C$105,C28)&gt;1),"待完善","可维护"))</f>
        <v/>
      </c>
    </row>
    <row r="29" spans="1:1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8">
        <f>IF(COUNTA(A29:C29)=0,"",IF(OR(A29="",B29="",NOT(AND(ISTEXT(C29),LEN(C29)=11,SUMPRODUCT(--ISNUMBER(FIND(MID(C29,ROW($1:$11),1),"0123456789")))=11,LEFT(C29,1)="1",ISNUMBER(FIND(MID(C29,2,1),"3456789")))),COUNTIF(D29:H29,"是")=0,I29="",AND(OR(D29="是",E29="是"),NOT(OR(J29="已单独设置",J29="保持原密码"))),COUNTIF($B$6:$B$105,B29)&gt;1,COUNTIF($C$6:$C$105,C29)&gt;1),"待完善","可维护"))</f>
        <v/>
      </c>
    </row>
    <row r="30" spans="1:1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8">
        <f>IF(COUNTA(A30:C30)=0,"",IF(OR(A30="",B30="",NOT(AND(ISTEXT(C30),LEN(C30)=11,SUMPRODUCT(--ISNUMBER(FIND(MID(C30,ROW($1:$11),1),"0123456789")))=11,LEFT(C30,1)="1",ISNUMBER(FIND(MID(C30,2,1),"3456789")))),COUNTIF(D30:H30,"是")=0,I30="",AND(OR(D30="是",E30="是"),NOT(OR(J30="已单独设置",J30="保持原密码"))),COUNTIF($B$6:$B$105,B30)&gt;1,COUNTIF($C$6:$C$105,C30)&gt;1),"待完善","可维护"))</f>
        <v/>
      </c>
    </row>
    <row r="31" spans="1:1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8">
        <f>IF(COUNTA(A31:C31)=0,"",IF(OR(A31="",B31="",NOT(AND(ISTEXT(C31),LEN(C31)=11,SUMPRODUCT(--ISNUMBER(FIND(MID(C31,ROW($1:$11),1),"0123456789")))=11,LEFT(C31,1)="1",ISNUMBER(FIND(MID(C31,2,1),"3456789")))),COUNTIF(D31:H31,"是")=0,I31="",AND(OR(D31="是",E31="是"),NOT(OR(J31="已单独设置",J31="保持原密码"))),COUNTIF($B$6:$B$105,B31)&gt;1,COUNTIF($C$6:$C$105,C31)&gt;1),"待完善","可维护"))</f>
        <v/>
      </c>
    </row>
    <row r="32" spans="1:1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8">
        <f>IF(COUNTA(A32:C32)=0,"",IF(OR(A32="",B32="",NOT(AND(ISTEXT(C32),LEN(C32)=11,SUMPRODUCT(--ISNUMBER(FIND(MID(C32,ROW($1:$11),1),"0123456789")))=11,LEFT(C32,1)="1",ISNUMBER(FIND(MID(C32,2,1),"3456789")))),COUNTIF(D32:H32,"是")=0,I32="",AND(OR(D32="是",E32="是"),NOT(OR(J32="已单独设置",J32="保持原密码"))),COUNTIF($B$6:$B$105,B32)&gt;1,COUNTIF($C$6:$C$105,C32)&gt;1),"待完善","可维护"))</f>
        <v/>
      </c>
    </row>
    <row r="33" spans="1:1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8">
        <f>IF(COUNTA(A33:C33)=0,"",IF(OR(A33="",B33="",NOT(AND(ISTEXT(C33),LEN(C33)=11,SUMPRODUCT(--ISNUMBER(FIND(MID(C33,ROW($1:$11),1),"0123456789")))=11,LEFT(C33,1)="1",ISNUMBER(FIND(MID(C33,2,1),"3456789")))),COUNTIF(D33:H33,"是")=0,I33="",AND(OR(D33="是",E33="是"),NOT(OR(J33="已单独设置",J33="保持原密码"))),COUNTIF($B$6:$B$105,B33)&gt;1,COUNTIF($C$6:$C$105,C33)&gt;1),"待完善","可维护"))</f>
        <v/>
      </c>
    </row>
    <row r="34" spans="1:1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">
        <f>IF(COUNTA(A34:C34)=0,"",IF(OR(A34="",B34="",NOT(AND(ISTEXT(C34),LEN(C34)=11,SUMPRODUCT(--ISNUMBER(FIND(MID(C34,ROW($1:$11),1),"0123456789")))=11,LEFT(C34,1)="1",ISNUMBER(FIND(MID(C34,2,1),"3456789")))),COUNTIF(D34:H34,"是")=0,I34="",AND(OR(D34="是",E34="是"),NOT(OR(J34="已单独设置",J34="保持原密码"))),COUNTIF($B$6:$B$105,B34)&gt;1,COUNTIF($C$6:$C$105,C34)&gt;1),"待完善","可维护"))</f>
        <v/>
      </c>
    </row>
    <row r="35" spans="1:1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">
        <f>IF(COUNTA(A35:C35)=0,"",IF(OR(A35="",B35="",NOT(AND(ISTEXT(C35),LEN(C35)=11,SUMPRODUCT(--ISNUMBER(FIND(MID(C35,ROW($1:$11),1),"0123456789")))=11,LEFT(C35,1)="1",ISNUMBER(FIND(MID(C35,2,1),"3456789")))),COUNTIF(D35:H35,"是")=0,I35="",AND(OR(D35="是",E35="是"),NOT(OR(J35="已单独设置",J35="保持原密码"))),COUNTIF($B$6:$B$105,B35)&gt;1,COUNTIF($C$6:$C$105,C35)&gt;1),"待完善","可维护"))</f>
        <v/>
      </c>
    </row>
    <row r="36" spans="1:1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8">
        <f>IF(COUNTA(A36:C36)=0,"",IF(OR(A36="",B36="",NOT(AND(ISTEXT(C36),LEN(C36)=11,SUMPRODUCT(--ISNUMBER(FIND(MID(C36,ROW($1:$11),1),"0123456789")))=11,LEFT(C36,1)="1",ISNUMBER(FIND(MID(C36,2,1),"3456789")))),COUNTIF(D36:H36,"是")=0,I36="",AND(OR(D36="是",E36="是"),NOT(OR(J36="已单独设置",J36="保持原密码"))),COUNTIF($B$6:$B$105,B36)&gt;1,COUNTIF($C$6:$C$105,C36)&gt;1),"待完善","可维护"))</f>
        <v/>
      </c>
    </row>
    <row r="37" spans="1:1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8">
        <f>IF(COUNTA(A37:C37)=0,"",IF(OR(A37="",B37="",NOT(AND(ISTEXT(C37),LEN(C37)=11,SUMPRODUCT(--ISNUMBER(FIND(MID(C37,ROW($1:$11),1),"0123456789")))=11,LEFT(C37,1)="1",ISNUMBER(FIND(MID(C37,2,1),"3456789")))),COUNTIF(D37:H37,"是")=0,I37="",AND(OR(D37="是",E37="是"),NOT(OR(J37="已单独设置",J37="保持原密码"))),COUNTIF($B$6:$B$105,B37)&gt;1,COUNTIF($C$6:$C$105,C37)&gt;1),"待完善","可维护"))</f>
        <v/>
      </c>
    </row>
    <row r="38" spans="1:1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8">
        <f>IF(COUNTA(A38:C38)=0,"",IF(OR(A38="",B38="",NOT(AND(ISTEXT(C38),LEN(C38)=11,SUMPRODUCT(--ISNUMBER(FIND(MID(C38,ROW($1:$11),1),"0123456789")))=11,LEFT(C38,1)="1",ISNUMBER(FIND(MID(C38,2,1),"3456789")))),COUNTIF(D38:H38,"是")=0,I38="",AND(OR(D38="是",E38="是"),NOT(OR(J38="已单独设置",J38="保持原密码"))),COUNTIF($B$6:$B$105,B38)&gt;1,COUNTIF($C$6:$C$105,C38)&gt;1),"待完善","可维护"))</f>
        <v/>
      </c>
    </row>
    <row r="39" spans="1:1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8">
        <f>IF(COUNTA(A39:C39)=0,"",IF(OR(A39="",B39="",NOT(AND(ISTEXT(C39),LEN(C39)=11,SUMPRODUCT(--ISNUMBER(FIND(MID(C39,ROW($1:$11),1),"0123456789")))=11,LEFT(C39,1)="1",ISNUMBER(FIND(MID(C39,2,1),"3456789")))),COUNTIF(D39:H39,"是")=0,I39="",AND(OR(D39="是",E39="是"),NOT(OR(J39="已单独设置",J39="保持原密码"))),COUNTIF($B$6:$B$105,B39)&gt;1,COUNTIF($C$6:$C$105,C39)&gt;1),"待完善","可维护"))</f>
        <v/>
      </c>
    </row>
    <row r="40" spans="1:1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8">
        <f>IF(COUNTA(A40:C40)=0,"",IF(OR(A40="",B40="",NOT(AND(ISTEXT(C40),LEN(C40)=11,SUMPRODUCT(--ISNUMBER(FIND(MID(C40,ROW($1:$11),1),"0123456789")))=11,LEFT(C40,1)="1",ISNUMBER(FIND(MID(C40,2,1),"3456789")))),COUNTIF(D40:H40,"是")=0,I40="",AND(OR(D40="是",E40="是"),NOT(OR(J40="已单独设置",J40="保持原密码"))),COUNTIF($B$6:$B$105,B40)&gt;1,COUNTIF($C$6:$C$105,C40)&gt;1),"待完善","可维护"))</f>
        <v/>
      </c>
    </row>
    <row r="41" spans="1:1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8">
        <f>IF(COUNTA(A41:C41)=0,"",IF(OR(A41="",B41="",NOT(AND(ISTEXT(C41),LEN(C41)=11,SUMPRODUCT(--ISNUMBER(FIND(MID(C41,ROW($1:$11),1),"0123456789")))=11,LEFT(C41,1)="1",ISNUMBER(FIND(MID(C41,2,1),"3456789")))),COUNTIF(D41:H41,"是")=0,I41="",AND(OR(D41="是",E41="是"),NOT(OR(J41="已单独设置",J41="保持原密码"))),COUNTIF($B$6:$B$105,B41)&gt;1,COUNTIF($C$6:$C$105,C41)&gt;1),"待完善","可维护"))</f>
        <v/>
      </c>
    </row>
    <row r="42" spans="1:1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8">
        <f>IF(COUNTA(A42:C42)=0,"",IF(OR(A42="",B42="",NOT(AND(ISTEXT(C42),LEN(C42)=11,SUMPRODUCT(--ISNUMBER(FIND(MID(C42,ROW($1:$11),1),"0123456789")))=11,LEFT(C42,1)="1",ISNUMBER(FIND(MID(C42,2,1),"3456789")))),COUNTIF(D42:H42,"是")=0,I42="",AND(OR(D42="是",E42="是"),NOT(OR(J42="已单独设置",J42="保持原密码"))),COUNTIF($B$6:$B$105,B42)&gt;1,COUNTIF($C$6:$C$105,C42)&gt;1),"待完善","可维护"))</f>
        <v/>
      </c>
    </row>
    <row r="43" spans="1:1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8">
        <f>IF(COUNTA(A43:C43)=0,"",IF(OR(A43="",B43="",NOT(AND(ISTEXT(C43),LEN(C43)=11,SUMPRODUCT(--ISNUMBER(FIND(MID(C43,ROW($1:$11),1),"0123456789")))=11,LEFT(C43,1)="1",ISNUMBER(FIND(MID(C43,2,1),"3456789")))),COUNTIF(D43:H43,"是")=0,I43="",AND(OR(D43="是",E43="是"),NOT(OR(J43="已单独设置",J43="保持原密码"))),COUNTIF($B$6:$B$105,B43)&gt;1,COUNTIF($C$6:$C$105,C43)&gt;1),"待完善","可维护"))</f>
        <v/>
      </c>
    </row>
    <row r="44" spans="1:1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8">
        <f>IF(COUNTA(A44:C44)=0,"",IF(OR(A44="",B44="",NOT(AND(ISTEXT(C44),LEN(C44)=11,SUMPRODUCT(--ISNUMBER(FIND(MID(C44,ROW($1:$11),1),"0123456789")))=11,LEFT(C44,1)="1",ISNUMBER(FIND(MID(C44,2,1),"3456789")))),COUNTIF(D44:H44,"是")=0,I44="",AND(OR(D44="是",E44="是"),NOT(OR(J44="已单独设置",J44="保持原密码"))),COUNTIF($B$6:$B$105,B44)&gt;1,COUNTIF($C$6:$C$105,C44)&gt;1),"待完善","可维护"))</f>
        <v/>
      </c>
    </row>
    <row r="45" spans="1:1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8">
        <f>IF(COUNTA(A45:C45)=0,"",IF(OR(A45="",B45="",NOT(AND(ISTEXT(C45),LEN(C45)=11,SUMPRODUCT(--ISNUMBER(FIND(MID(C45,ROW($1:$11),1),"0123456789")))=11,LEFT(C45,1)="1",ISNUMBER(FIND(MID(C45,2,1),"3456789")))),COUNTIF(D45:H45,"是")=0,I45="",AND(OR(D45="是",E45="是"),NOT(OR(J45="已单独设置",J45="保持原密码"))),COUNTIF($B$6:$B$105,B45)&gt;1,COUNTIF($C$6:$C$105,C45)&gt;1),"待完善","可维护"))</f>
        <v/>
      </c>
    </row>
    <row r="46" spans="1:1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8">
        <f>IF(COUNTA(A46:C46)=0,"",IF(OR(A46="",B46="",NOT(AND(ISTEXT(C46),LEN(C46)=11,SUMPRODUCT(--ISNUMBER(FIND(MID(C46,ROW($1:$11),1),"0123456789")))=11,LEFT(C46,1)="1",ISNUMBER(FIND(MID(C46,2,1),"3456789")))),COUNTIF(D46:H46,"是")=0,I46="",AND(OR(D46="是",E46="是"),NOT(OR(J46="已单独设置",J46="保持原密码"))),COUNTIF($B$6:$B$105,B46)&gt;1,COUNTIF($C$6:$C$105,C46)&gt;1),"待完善","可维护"))</f>
        <v/>
      </c>
    </row>
    <row r="47" spans="1:1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8">
        <f>IF(COUNTA(A47:C47)=0,"",IF(OR(A47="",B47="",NOT(AND(ISTEXT(C47),LEN(C47)=11,SUMPRODUCT(--ISNUMBER(FIND(MID(C47,ROW($1:$11),1),"0123456789")))=11,LEFT(C47,1)="1",ISNUMBER(FIND(MID(C47,2,1),"3456789")))),COUNTIF(D47:H47,"是")=0,I47="",AND(OR(D47="是",E47="是"),NOT(OR(J47="已单独设置",J47="保持原密码"))),COUNTIF($B$6:$B$105,B47)&gt;1,COUNTIF($C$6:$C$105,C47)&gt;1),"待完善","可维护"))</f>
        <v/>
      </c>
    </row>
    <row r="48" spans="1:1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8">
        <f>IF(COUNTA(A48:C48)=0,"",IF(OR(A48="",B48="",NOT(AND(ISTEXT(C48),LEN(C48)=11,SUMPRODUCT(--ISNUMBER(FIND(MID(C48,ROW($1:$11),1),"0123456789")))=11,LEFT(C48,1)="1",ISNUMBER(FIND(MID(C48,2,1),"3456789")))),COUNTIF(D48:H48,"是")=0,I48="",AND(OR(D48="是",E48="是"),NOT(OR(J48="已单独设置",J48="保持原密码"))),COUNTIF($B$6:$B$105,B48)&gt;1,COUNTIF($C$6:$C$105,C48)&gt;1),"待完善","可维护"))</f>
        <v/>
      </c>
    </row>
    <row r="49" spans="1:1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8">
        <f>IF(COUNTA(A49:C49)=0,"",IF(OR(A49="",B49="",NOT(AND(ISTEXT(C49),LEN(C49)=11,SUMPRODUCT(--ISNUMBER(FIND(MID(C49,ROW($1:$11),1),"0123456789")))=11,LEFT(C49,1)="1",ISNUMBER(FIND(MID(C49,2,1),"3456789")))),COUNTIF(D49:H49,"是")=0,I49="",AND(OR(D49="是",E49="是"),NOT(OR(J49="已单独设置",J49="保持原密码"))),COUNTIF($B$6:$B$105,B49)&gt;1,COUNTIF($C$6:$C$105,C49)&gt;1),"待完善","可维护"))</f>
        <v/>
      </c>
    </row>
    <row r="50" spans="1:1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8">
        <f>IF(COUNTA(A50:C50)=0,"",IF(OR(A50="",B50="",NOT(AND(ISTEXT(C50),LEN(C50)=11,SUMPRODUCT(--ISNUMBER(FIND(MID(C50,ROW($1:$11),1),"0123456789")))=11,LEFT(C50,1)="1",ISNUMBER(FIND(MID(C50,2,1),"3456789")))),COUNTIF(D50:H50,"是")=0,I50="",AND(OR(D50="是",E50="是"),NOT(OR(J50="已单独设置",J50="保持原密码"))),COUNTIF($B$6:$B$105,B50)&gt;1,COUNTIF($C$6:$C$105,C50)&gt;1),"待完善","可维护"))</f>
        <v/>
      </c>
    </row>
    <row r="51" spans="1:1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8">
        <f>IF(COUNTA(A51:C51)=0,"",IF(OR(A51="",B51="",NOT(AND(ISTEXT(C51),LEN(C51)=11,SUMPRODUCT(--ISNUMBER(FIND(MID(C51,ROW($1:$11),1),"0123456789")))=11,LEFT(C51,1)="1",ISNUMBER(FIND(MID(C51,2,1),"3456789")))),COUNTIF(D51:H51,"是")=0,I51="",AND(OR(D51="是",E51="是"),NOT(OR(J51="已单独设置",J51="保持原密码"))),COUNTIF($B$6:$B$105,B51)&gt;1,COUNTIF($C$6:$C$105,C51)&gt;1),"待完善","可维护"))</f>
        <v/>
      </c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8">
        <f>IF(COUNTA(A52:C52)=0,"",IF(OR(A52="",B52="",NOT(AND(ISTEXT(C52),LEN(C52)=11,SUMPRODUCT(--ISNUMBER(FIND(MID(C52,ROW($1:$11),1),"0123456789")))=11,LEFT(C52,1)="1",ISNUMBER(FIND(MID(C52,2,1),"3456789")))),COUNTIF(D52:H52,"是")=0,I52="",AND(OR(D52="是",E52="是"),NOT(OR(J52="已单独设置",J52="保持原密码"))),COUNTIF($B$6:$B$105,B52)&gt;1,COUNTIF($C$6:$C$105,C52)&gt;1),"待完善","可维护"))</f>
        <v/>
      </c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8">
        <f>IF(COUNTA(A53:C53)=0,"",IF(OR(A53="",B53="",NOT(AND(ISTEXT(C53),LEN(C53)=11,SUMPRODUCT(--ISNUMBER(FIND(MID(C53,ROW($1:$11),1),"0123456789")))=11,LEFT(C53,1)="1",ISNUMBER(FIND(MID(C53,2,1),"3456789")))),COUNTIF(D53:H53,"是")=0,I53="",AND(OR(D53="是",E53="是"),NOT(OR(J53="已单独设置",J53="保持原密码"))),COUNTIF($B$6:$B$105,B53)&gt;1,COUNTIF($C$6:$C$105,C53)&gt;1),"待完善","可维护"))</f>
        <v/>
      </c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8">
        <f>IF(COUNTA(A54:C54)=0,"",IF(OR(A54="",B54="",NOT(AND(ISTEXT(C54),LEN(C54)=11,SUMPRODUCT(--ISNUMBER(FIND(MID(C54,ROW($1:$11),1),"0123456789")))=11,LEFT(C54,1)="1",ISNUMBER(FIND(MID(C54,2,1),"3456789")))),COUNTIF(D54:H54,"是")=0,I54="",AND(OR(D54="是",E54="是"),NOT(OR(J54="已单独设置",J54="保持原密码"))),COUNTIF($B$6:$B$105,B54)&gt;1,COUNTIF($C$6:$C$105,C54)&gt;1),"待完善","可维护"))</f>
        <v/>
      </c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8">
        <f>IF(COUNTA(A55:C55)=0,"",IF(OR(A55="",B55="",NOT(AND(ISTEXT(C55),LEN(C55)=11,SUMPRODUCT(--ISNUMBER(FIND(MID(C55,ROW($1:$11),1),"0123456789")))=11,LEFT(C55,1)="1",ISNUMBER(FIND(MID(C55,2,1),"3456789")))),COUNTIF(D55:H55,"是")=0,I55="",AND(OR(D55="是",E55="是"),NOT(OR(J55="已单独设置",J55="保持原密码"))),COUNTIF($B$6:$B$105,B55)&gt;1,COUNTIF($C$6:$C$105,C55)&gt;1),"待完善","可维护"))</f>
        <v/>
      </c>
    </row>
    <row r="56" spans="1:1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8">
        <f>IF(COUNTA(A56:C56)=0,"",IF(OR(A56="",B56="",NOT(AND(ISTEXT(C56),LEN(C56)=11,SUMPRODUCT(--ISNUMBER(FIND(MID(C56,ROW($1:$11),1),"0123456789")))=11,LEFT(C56,1)="1",ISNUMBER(FIND(MID(C56,2,1),"3456789")))),COUNTIF(D56:H56,"是")=0,I56="",AND(OR(D56="是",E56="是"),NOT(OR(J56="已单独设置",J56="保持原密码"))),COUNTIF($B$6:$B$105,B56)&gt;1,COUNTIF($C$6:$C$105,C56)&gt;1),"待完善","可维护"))</f>
        <v/>
      </c>
    </row>
    <row r="57" spans="1:1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8">
        <f>IF(COUNTA(A57:C57)=0,"",IF(OR(A57="",B57="",NOT(AND(ISTEXT(C57),LEN(C57)=11,SUMPRODUCT(--ISNUMBER(FIND(MID(C57,ROW($1:$11),1),"0123456789")))=11,LEFT(C57,1)="1",ISNUMBER(FIND(MID(C57,2,1),"3456789")))),COUNTIF(D57:H57,"是")=0,I57="",AND(OR(D57="是",E57="是"),NOT(OR(J57="已单独设置",J57="保持原密码"))),COUNTIF($B$6:$B$105,B57)&gt;1,COUNTIF($C$6:$C$105,C57)&gt;1),"待完善","可维护"))</f>
        <v/>
      </c>
    </row>
    <row r="58" spans="1:1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8">
        <f>IF(COUNTA(A58:C58)=0,"",IF(OR(A58="",B58="",NOT(AND(ISTEXT(C58),LEN(C58)=11,SUMPRODUCT(--ISNUMBER(FIND(MID(C58,ROW($1:$11),1),"0123456789")))=11,LEFT(C58,1)="1",ISNUMBER(FIND(MID(C58,2,1),"3456789")))),COUNTIF(D58:H58,"是")=0,I58="",AND(OR(D58="是",E58="是"),NOT(OR(J58="已单独设置",J58="保持原密码"))),COUNTIF($B$6:$B$105,B58)&gt;1,COUNTIF($C$6:$C$105,C58)&gt;1),"待完善","可维护"))</f>
        <v/>
      </c>
    </row>
    <row r="59" spans="1:1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8">
        <f>IF(COUNTA(A59:C59)=0,"",IF(OR(A59="",B59="",NOT(AND(ISTEXT(C59),LEN(C59)=11,SUMPRODUCT(--ISNUMBER(FIND(MID(C59,ROW($1:$11),1),"0123456789")))=11,LEFT(C59,1)="1",ISNUMBER(FIND(MID(C59,2,1),"3456789")))),COUNTIF(D59:H59,"是")=0,I59="",AND(OR(D59="是",E59="是"),NOT(OR(J59="已单独设置",J59="保持原密码"))),COUNTIF($B$6:$B$105,B59)&gt;1,COUNTIF($C$6:$C$105,C59)&gt;1),"待完善","可维护"))</f>
        <v/>
      </c>
    </row>
    <row r="60" spans="1:1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8">
        <f>IF(COUNTA(A60:C60)=0,"",IF(OR(A60="",B60="",NOT(AND(ISTEXT(C60),LEN(C60)=11,SUMPRODUCT(--ISNUMBER(FIND(MID(C60,ROW($1:$11),1),"0123456789")))=11,LEFT(C60,1)="1",ISNUMBER(FIND(MID(C60,2,1),"3456789")))),COUNTIF(D60:H60,"是")=0,I60="",AND(OR(D60="是",E60="是"),NOT(OR(J60="已单独设置",J60="保持原密码"))),COUNTIF($B$6:$B$105,B60)&gt;1,COUNTIF($C$6:$C$105,C60)&gt;1),"待完善","可维护"))</f>
        <v/>
      </c>
    </row>
    <row r="61" spans="1:1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8">
        <f>IF(COUNTA(A61:C61)=0,"",IF(OR(A61="",B61="",NOT(AND(ISTEXT(C61),LEN(C61)=11,SUMPRODUCT(--ISNUMBER(FIND(MID(C61,ROW($1:$11),1),"0123456789")))=11,LEFT(C61,1)="1",ISNUMBER(FIND(MID(C61,2,1),"3456789")))),COUNTIF(D61:H61,"是")=0,I61="",AND(OR(D61="是",E61="是"),NOT(OR(J61="已单独设置",J61="保持原密码"))),COUNTIF($B$6:$B$105,B61)&gt;1,COUNTIF($C$6:$C$105,C61)&gt;1),"待完善","可维护"))</f>
        <v/>
      </c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8">
        <f>IF(COUNTA(A62:C62)=0,"",IF(OR(A62="",B62="",NOT(AND(ISTEXT(C62),LEN(C62)=11,SUMPRODUCT(--ISNUMBER(FIND(MID(C62,ROW($1:$11),1),"0123456789")))=11,LEFT(C62,1)="1",ISNUMBER(FIND(MID(C62,2,1),"3456789")))),COUNTIF(D62:H62,"是")=0,I62="",AND(OR(D62="是",E62="是"),NOT(OR(J62="已单独设置",J62="保持原密码"))),COUNTIF($B$6:$B$105,B62)&gt;1,COUNTIF($C$6:$C$105,C62)&gt;1),"待完善","可维护"))</f>
        <v/>
      </c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8">
        <f>IF(COUNTA(A63:C63)=0,"",IF(OR(A63="",B63="",NOT(AND(ISTEXT(C63),LEN(C63)=11,SUMPRODUCT(--ISNUMBER(FIND(MID(C63,ROW($1:$11),1),"0123456789")))=11,LEFT(C63,1)="1",ISNUMBER(FIND(MID(C63,2,1),"3456789")))),COUNTIF(D63:H63,"是")=0,I63="",AND(OR(D63="是",E63="是"),NOT(OR(J63="已单独设置",J63="保持原密码"))),COUNTIF($B$6:$B$105,B63)&gt;1,COUNTIF($C$6:$C$105,C63)&gt;1),"待完善","可维护"))</f>
        <v/>
      </c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8">
        <f>IF(COUNTA(A64:C64)=0,"",IF(OR(A64="",B64="",NOT(AND(ISTEXT(C64),LEN(C64)=11,SUMPRODUCT(--ISNUMBER(FIND(MID(C64,ROW($1:$11),1),"0123456789")))=11,LEFT(C64,1)="1",ISNUMBER(FIND(MID(C64,2,1),"3456789")))),COUNTIF(D64:H64,"是")=0,I64="",AND(OR(D64="是",E64="是"),NOT(OR(J64="已单独设置",J64="保持原密码"))),COUNTIF($B$6:$B$105,B64)&gt;1,COUNTIF($C$6:$C$105,C64)&gt;1),"待完善","可维护"))</f>
        <v/>
      </c>
    </row>
    <row r="65" spans="1:1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8">
        <f>IF(COUNTA(A65:C65)=0,"",IF(OR(A65="",B65="",NOT(AND(ISTEXT(C65),LEN(C65)=11,SUMPRODUCT(--ISNUMBER(FIND(MID(C65,ROW($1:$11),1),"0123456789")))=11,LEFT(C65,1)="1",ISNUMBER(FIND(MID(C65,2,1),"3456789")))),COUNTIF(D65:H65,"是")=0,I65="",AND(OR(D65="是",E65="是"),NOT(OR(J65="已单独设置",J65="保持原密码"))),COUNTIF($B$6:$B$105,B65)&gt;1,COUNTIF($C$6:$C$105,C65)&gt;1),"待完善","可维护"))</f>
        <v/>
      </c>
    </row>
    <row r="66" spans="1:1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8">
        <f>IF(COUNTA(A66:C66)=0,"",IF(OR(A66="",B66="",NOT(AND(ISTEXT(C66),LEN(C66)=11,SUMPRODUCT(--ISNUMBER(FIND(MID(C66,ROW($1:$11),1),"0123456789")))=11,LEFT(C66,1)="1",ISNUMBER(FIND(MID(C66,2,1),"3456789")))),COUNTIF(D66:H66,"是")=0,I66="",AND(OR(D66="是",E66="是"),NOT(OR(J66="已单独设置",J66="保持原密码"))),COUNTIF($B$6:$B$105,B66)&gt;1,COUNTIF($C$6:$C$105,C66)&gt;1),"待完善","可维护"))</f>
        <v/>
      </c>
    </row>
    <row r="67" spans="1:1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8">
        <f>IF(COUNTA(A67:C67)=0,"",IF(OR(A67="",B67="",NOT(AND(ISTEXT(C67),LEN(C67)=11,SUMPRODUCT(--ISNUMBER(FIND(MID(C67,ROW($1:$11),1),"0123456789")))=11,LEFT(C67,1)="1",ISNUMBER(FIND(MID(C67,2,1),"3456789")))),COUNTIF(D67:H67,"是")=0,I67="",AND(OR(D67="是",E67="是"),NOT(OR(J67="已单独设置",J67="保持原密码"))),COUNTIF($B$6:$B$105,B67)&gt;1,COUNTIF($C$6:$C$105,C67)&gt;1),"待完善","可维护"))</f>
        <v/>
      </c>
    </row>
    <row r="68" spans="1:1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8">
        <f>IF(COUNTA(A68:C68)=0,"",IF(OR(A68="",B68="",NOT(AND(ISTEXT(C68),LEN(C68)=11,SUMPRODUCT(--ISNUMBER(FIND(MID(C68,ROW($1:$11),1),"0123456789")))=11,LEFT(C68,1)="1",ISNUMBER(FIND(MID(C68,2,1),"3456789")))),COUNTIF(D68:H68,"是")=0,I68="",AND(OR(D68="是",E68="是"),NOT(OR(J68="已单独设置",J68="保持原密码"))),COUNTIF($B$6:$B$105,B68)&gt;1,COUNTIF($C$6:$C$105,C68)&gt;1),"待完善","可维护"))</f>
        <v/>
      </c>
    </row>
    <row r="69" spans="1:1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8">
        <f>IF(COUNTA(A69:C69)=0,"",IF(OR(A69="",B69="",NOT(AND(ISTEXT(C69),LEN(C69)=11,SUMPRODUCT(--ISNUMBER(FIND(MID(C69,ROW($1:$11),1),"0123456789")))=11,LEFT(C69,1)="1",ISNUMBER(FIND(MID(C69,2,1),"3456789")))),COUNTIF(D69:H69,"是")=0,I69="",AND(OR(D69="是",E69="是"),NOT(OR(J69="已单独设置",J69="保持原密码"))),COUNTIF($B$6:$B$105,B69)&gt;1,COUNTIF($C$6:$C$105,C69)&gt;1),"待完善","可维护"))</f>
        <v/>
      </c>
    </row>
    <row r="70" spans="1:1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8">
        <f>IF(COUNTA(A70:C70)=0,"",IF(OR(A70="",B70="",NOT(AND(ISTEXT(C70),LEN(C70)=11,SUMPRODUCT(--ISNUMBER(FIND(MID(C70,ROW($1:$11),1),"0123456789")))=11,LEFT(C70,1)="1",ISNUMBER(FIND(MID(C70,2,1),"3456789")))),COUNTIF(D70:H70,"是")=0,I70="",AND(OR(D70="是",E70="是"),NOT(OR(J70="已单独设置",J70="保持原密码"))),COUNTIF($B$6:$B$105,B70)&gt;1,COUNTIF($C$6:$C$105,C70)&gt;1),"待完善","可维护"))</f>
        <v/>
      </c>
    </row>
    <row r="71" spans="1:1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8">
        <f>IF(COUNTA(A71:C71)=0,"",IF(OR(A71="",B71="",NOT(AND(ISTEXT(C71),LEN(C71)=11,SUMPRODUCT(--ISNUMBER(FIND(MID(C71,ROW($1:$11),1),"0123456789")))=11,LEFT(C71,1)="1",ISNUMBER(FIND(MID(C71,2,1),"3456789")))),COUNTIF(D71:H71,"是")=0,I71="",AND(OR(D71="是",E71="是"),NOT(OR(J71="已单独设置",J71="保持原密码"))),COUNTIF($B$6:$B$105,B71)&gt;1,COUNTIF($C$6:$C$105,C71)&gt;1),"待完善","可维护"))</f>
        <v/>
      </c>
    </row>
    <row r="72" spans="1:1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8">
        <f>IF(COUNTA(A72:C72)=0,"",IF(OR(A72="",B72="",NOT(AND(ISTEXT(C72),LEN(C72)=11,SUMPRODUCT(--ISNUMBER(FIND(MID(C72,ROW($1:$11),1),"0123456789")))=11,LEFT(C72,1)="1",ISNUMBER(FIND(MID(C72,2,1),"3456789")))),COUNTIF(D72:H72,"是")=0,I72="",AND(OR(D72="是",E72="是"),NOT(OR(J72="已单独设置",J72="保持原密码"))),COUNTIF($B$6:$B$105,B72)&gt;1,COUNTIF($C$6:$C$105,C72)&gt;1),"待完善","可维护"))</f>
        <v/>
      </c>
    </row>
    <row r="73" spans="1:1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8">
        <f>IF(COUNTA(A73:C73)=0,"",IF(OR(A73="",B73="",NOT(AND(ISTEXT(C73),LEN(C73)=11,SUMPRODUCT(--ISNUMBER(FIND(MID(C73,ROW($1:$11),1),"0123456789")))=11,LEFT(C73,1)="1",ISNUMBER(FIND(MID(C73,2,1),"3456789")))),COUNTIF(D73:H73,"是")=0,I73="",AND(OR(D73="是",E73="是"),NOT(OR(J73="已单独设置",J73="保持原密码"))),COUNTIF($B$6:$B$105,B73)&gt;1,COUNTIF($C$6:$C$105,C73)&gt;1),"待完善","可维护"))</f>
        <v/>
      </c>
    </row>
    <row r="74" spans="1:1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8">
        <f>IF(COUNTA(A74:C74)=0,"",IF(OR(A74="",B74="",NOT(AND(ISTEXT(C74),LEN(C74)=11,SUMPRODUCT(--ISNUMBER(FIND(MID(C74,ROW($1:$11),1),"0123456789")))=11,LEFT(C74,1)="1",ISNUMBER(FIND(MID(C74,2,1),"3456789")))),COUNTIF(D74:H74,"是")=0,I74="",AND(OR(D74="是",E74="是"),NOT(OR(J74="已单独设置",J74="保持原密码"))),COUNTIF($B$6:$B$105,B74)&gt;1,COUNTIF($C$6:$C$105,C74)&gt;1),"待完善","可维护"))</f>
        <v/>
      </c>
    </row>
    <row r="75" spans="1:1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8">
        <f>IF(COUNTA(A75:C75)=0,"",IF(OR(A75="",B75="",NOT(AND(ISTEXT(C75),LEN(C75)=11,SUMPRODUCT(--ISNUMBER(FIND(MID(C75,ROW($1:$11),1),"0123456789")))=11,LEFT(C75,1)="1",ISNUMBER(FIND(MID(C75,2,1),"3456789")))),COUNTIF(D75:H75,"是")=0,I75="",AND(OR(D75="是",E75="是"),NOT(OR(J75="已单独设置",J75="保持原密码"))),COUNTIF($B$6:$B$105,B75)&gt;1,COUNTIF($C$6:$C$105,C75)&gt;1),"待完善","可维护"))</f>
        <v/>
      </c>
    </row>
    <row r="76" spans="1:1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8">
        <f>IF(COUNTA(A76:C76)=0,"",IF(OR(A76="",B76="",NOT(AND(ISTEXT(C76),LEN(C76)=11,SUMPRODUCT(--ISNUMBER(FIND(MID(C76,ROW($1:$11),1),"0123456789")))=11,LEFT(C76,1)="1",ISNUMBER(FIND(MID(C76,2,1),"3456789")))),COUNTIF(D76:H76,"是")=0,I76="",AND(OR(D76="是",E76="是"),NOT(OR(J76="已单独设置",J76="保持原密码"))),COUNTIF($B$6:$B$105,B76)&gt;1,COUNTIF($C$6:$C$105,C76)&gt;1),"待完善","可维护"))</f>
        <v/>
      </c>
    </row>
    <row r="77" spans="1:1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8">
        <f>IF(COUNTA(A77:C77)=0,"",IF(OR(A77="",B77="",NOT(AND(ISTEXT(C77),LEN(C77)=11,SUMPRODUCT(--ISNUMBER(FIND(MID(C77,ROW($1:$11),1),"0123456789")))=11,LEFT(C77,1)="1",ISNUMBER(FIND(MID(C77,2,1),"3456789")))),COUNTIF(D77:H77,"是")=0,I77="",AND(OR(D77="是",E77="是"),NOT(OR(J77="已单独设置",J77="保持原密码"))),COUNTIF($B$6:$B$105,B77)&gt;1,COUNTIF($C$6:$C$105,C77)&gt;1),"待完善","可维护"))</f>
        <v/>
      </c>
    </row>
    <row r="78" spans="1:1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8">
        <f>IF(COUNTA(A78:C78)=0,"",IF(OR(A78="",B78="",NOT(AND(ISTEXT(C78),LEN(C78)=11,SUMPRODUCT(--ISNUMBER(FIND(MID(C78,ROW($1:$11),1),"0123456789")))=11,LEFT(C78,1)="1",ISNUMBER(FIND(MID(C78,2,1),"3456789")))),COUNTIF(D78:H78,"是")=0,I78="",AND(OR(D78="是",E78="是"),NOT(OR(J78="已单独设置",J78="保持原密码"))),COUNTIF($B$6:$B$105,B78)&gt;1,COUNTIF($C$6:$C$105,C78)&gt;1),"待完善","可维护"))</f>
        <v/>
      </c>
    </row>
    <row r="79" spans="1:1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8">
        <f>IF(COUNTA(A79:C79)=0,"",IF(OR(A79="",B79="",NOT(AND(ISTEXT(C79),LEN(C79)=11,SUMPRODUCT(--ISNUMBER(FIND(MID(C79,ROW($1:$11),1),"0123456789")))=11,LEFT(C79,1)="1",ISNUMBER(FIND(MID(C79,2,1),"3456789")))),COUNTIF(D79:H79,"是")=0,I79="",AND(OR(D79="是",E79="是"),NOT(OR(J79="已单独设置",J79="保持原密码"))),COUNTIF($B$6:$B$105,B79)&gt;1,COUNTIF($C$6:$C$105,C79)&gt;1),"待完善","可维护"))</f>
        <v/>
      </c>
    </row>
    <row r="80" spans="1:1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8">
        <f>IF(COUNTA(A80:C80)=0,"",IF(OR(A80="",B80="",NOT(AND(ISTEXT(C80),LEN(C80)=11,SUMPRODUCT(--ISNUMBER(FIND(MID(C80,ROW($1:$11),1),"0123456789")))=11,LEFT(C80,1)="1",ISNUMBER(FIND(MID(C80,2,1),"3456789")))),COUNTIF(D80:H80,"是")=0,I80="",AND(OR(D80="是",E80="是"),NOT(OR(J80="已单独设置",J80="保持原密码"))),COUNTIF($B$6:$B$105,B80)&gt;1,COUNTIF($C$6:$C$105,C80)&gt;1),"待完善","可维护"))</f>
        <v/>
      </c>
    </row>
    <row r="81" spans="1:1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8">
        <f>IF(COUNTA(A81:C81)=0,"",IF(OR(A81="",B81="",NOT(AND(ISTEXT(C81),LEN(C81)=11,SUMPRODUCT(--ISNUMBER(FIND(MID(C81,ROW($1:$11),1),"0123456789")))=11,LEFT(C81,1)="1",ISNUMBER(FIND(MID(C81,2,1),"3456789")))),COUNTIF(D81:H81,"是")=0,I81="",AND(OR(D81="是",E81="是"),NOT(OR(J81="已单独设置",J81="保持原密码"))),COUNTIF($B$6:$B$105,B81)&gt;1,COUNTIF($C$6:$C$105,C81)&gt;1),"待完善","可维护"))</f>
        <v/>
      </c>
    </row>
    <row r="82" spans="1:1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8">
        <f>IF(COUNTA(A82:C82)=0,"",IF(OR(A82="",B82="",NOT(AND(ISTEXT(C82),LEN(C82)=11,SUMPRODUCT(--ISNUMBER(FIND(MID(C82,ROW($1:$11),1),"0123456789")))=11,LEFT(C82,1)="1",ISNUMBER(FIND(MID(C82,2,1),"3456789")))),COUNTIF(D82:H82,"是")=0,I82="",AND(OR(D82="是",E82="是"),NOT(OR(J82="已单独设置",J82="保持原密码"))),COUNTIF($B$6:$B$105,B82)&gt;1,COUNTIF($C$6:$C$105,C82)&gt;1),"待完善","可维护"))</f>
        <v/>
      </c>
    </row>
    <row r="83" spans="1:1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8">
        <f>IF(COUNTA(A83:C83)=0,"",IF(OR(A83="",B83="",NOT(AND(ISTEXT(C83),LEN(C83)=11,SUMPRODUCT(--ISNUMBER(FIND(MID(C83,ROW($1:$11),1),"0123456789")))=11,LEFT(C83,1)="1",ISNUMBER(FIND(MID(C83,2,1),"3456789")))),COUNTIF(D83:H83,"是")=0,I83="",AND(OR(D83="是",E83="是"),NOT(OR(J83="已单独设置",J83="保持原密码"))),COUNTIF($B$6:$B$105,B83)&gt;1,COUNTIF($C$6:$C$105,C83)&gt;1),"待完善","可维护"))</f>
        <v/>
      </c>
    </row>
    <row r="84" spans="1:1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8">
        <f>IF(COUNTA(A84:C84)=0,"",IF(OR(A84="",B84="",NOT(AND(ISTEXT(C84),LEN(C84)=11,SUMPRODUCT(--ISNUMBER(FIND(MID(C84,ROW($1:$11),1),"0123456789")))=11,LEFT(C84,1)="1",ISNUMBER(FIND(MID(C84,2,1),"3456789")))),COUNTIF(D84:H84,"是")=0,I84="",AND(OR(D84="是",E84="是"),NOT(OR(J84="已单独设置",J84="保持原密码"))),COUNTIF($B$6:$B$105,B84)&gt;1,COUNTIF($C$6:$C$105,C84)&gt;1),"待完善","可维护"))</f>
        <v/>
      </c>
    </row>
    <row r="85" spans="1:1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8">
        <f>IF(COUNTA(A85:C85)=0,"",IF(OR(A85="",B85="",NOT(AND(ISTEXT(C85),LEN(C85)=11,SUMPRODUCT(--ISNUMBER(FIND(MID(C85,ROW($1:$11),1),"0123456789")))=11,LEFT(C85,1)="1",ISNUMBER(FIND(MID(C85,2,1),"3456789")))),COUNTIF(D85:H85,"是")=0,I85="",AND(OR(D85="是",E85="是"),NOT(OR(J85="已单独设置",J85="保持原密码"))),COUNTIF($B$6:$B$105,B85)&gt;1,COUNTIF($C$6:$C$105,C85)&gt;1),"待完善","可维护"))</f>
        <v/>
      </c>
    </row>
    <row r="86" spans="1:1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8">
        <f>IF(COUNTA(A86:C86)=0,"",IF(OR(A86="",B86="",NOT(AND(ISTEXT(C86),LEN(C86)=11,SUMPRODUCT(--ISNUMBER(FIND(MID(C86,ROW($1:$11),1),"0123456789")))=11,LEFT(C86,1)="1",ISNUMBER(FIND(MID(C86,2,1),"3456789")))),COUNTIF(D86:H86,"是")=0,I86="",AND(OR(D86="是",E86="是"),NOT(OR(J86="已单独设置",J86="保持原密码"))),COUNTIF($B$6:$B$105,B86)&gt;1,COUNTIF($C$6:$C$105,C86)&gt;1),"待完善","可维护"))</f>
        <v/>
      </c>
    </row>
    <row r="87" spans="1:1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8">
        <f>IF(COUNTA(A87:C87)=0,"",IF(OR(A87="",B87="",NOT(AND(ISTEXT(C87),LEN(C87)=11,SUMPRODUCT(--ISNUMBER(FIND(MID(C87,ROW($1:$11),1),"0123456789")))=11,LEFT(C87,1)="1",ISNUMBER(FIND(MID(C87,2,1),"3456789")))),COUNTIF(D87:H87,"是")=0,I87="",AND(OR(D87="是",E87="是"),NOT(OR(J87="已单独设置",J87="保持原密码"))),COUNTIF($B$6:$B$105,B87)&gt;1,COUNTIF($C$6:$C$105,C87)&gt;1),"待完善","可维护"))</f>
        <v/>
      </c>
    </row>
    <row r="88" spans="1:1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8">
        <f>IF(COUNTA(A88:C88)=0,"",IF(OR(A88="",B88="",NOT(AND(ISTEXT(C88),LEN(C88)=11,SUMPRODUCT(--ISNUMBER(FIND(MID(C88,ROW($1:$11),1),"0123456789")))=11,LEFT(C88,1)="1",ISNUMBER(FIND(MID(C88,2,1),"3456789")))),COUNTIF(D88:H88,"是")=0,I88="",AND(OR(D88="是",E88="是"),NOT(OR(J88="已单独设置",J88="保持原密码"))),COUNTIF($B$6:$B$105,B88)&gt;1,COUNTIF($C$6:$C$105,C88)&gt;1),"待完善","可维护"))</f>
        <v/>
      </c>
    </row>
    <row r="89" spans="1:1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8">
        <f>IF(COUNTA(A89:C89)=0,"",IF(OR(A89="",B89="",NOT(AND(ISTEXT(C89),LEN(C89)=11,SUMPRODUCT(--ISNUMBER(FIND(MID(C89,ROW($1:$11),1),"0123456789")))=11,LEFT(C89,1)="1",ISNUMBER(FIND(MID(C89,2,1),"3456789")))),COUNTIF(D89:H89,"是")=0,I89="",AND(OR(D89="是",E89="是"),NOT(OR(J89="已单独设置",J89="保持原密码"))),COUNTIF($B$6:$B$105,B89)&gt;1,COUNTIF($C$6:$C$105,C89)&gt;1),"待完善","可维护"))</f>
        <v/>
      </c>
    </row>
    <row r="90" spans="1:1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8">
        <f>IF(COUNTA(A90:C90)=0,"",IF(OR(A90="",B90="",NOT(AND(ISTEXT(C90),LEN(C90)=11,SUMPRODUCT(--ISNUMBER(FIND(MID(C90,ROW($1:$11),1),"0123456789")))=11,LEFT(C90,1)="1",ISNUMBER(FIND(MID(C90,2,1),"3456789")))),COUNTIF(D90:H90,"是")=0,I90="",AND(OR(D90="是",E90="是"),NOT(OR(J90="已单独设置",J90="保持原密码"))),COUNTIF($B$6:$B$105,B90)&gt;1,COUNTIF($C$6:$C$105,C90)&gt;1),"待完善","可维护"))</f>
        <v/>
      </c>
    </row>
    <row r="91" spans="1:1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8">
        <f>IF(COUNTA(A91:C91)=0,"",IF(OR(A91="",B91="",NOT(AND(ISTEXT(C91),LEN(C91)=11,SUMPRODUCT(--ISNUMBER(FIND(MID(C91,ROW($1:$11),1),"0123456789")))=11,LEFT(C91,1)="1",ISNUMBER(FIND(MID(C91,2,1),"3456789")))),COUNTIF(D91:H91,"是")=0,I91="",AND(OR(D91="是",E91="是"),NOT(OR(J91="已单独设置",J91="保持原密码"))),COUNTIF($B$6:$B$105,B91)&gt;1,COUNTIF($C$6:$C$105,C91)&gt;1),"待完善","可维护"))</f>
        <v/>
      </c>
    </row>
    <row r="92" spans="1:1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8">
        <f>IF(COUNTA(A92:C92)=0,"",IF(OR(A92="",B92="",NOT(AND(ISTEXT(C92),LEN(C92)=11,SUMPRODUCT(--ISNUMBER(FIND(MID(C92,ROW($1:$11),1),"0123456789")))=11,LEFT(C92,1)="1",ISNUMBER(FIND(MID(C92,2,1),"3456789")))),COUNTIF(D92:H92,"是")=0,I92="",AND(OR(D92="是",E92="是"),NOT(OR(J92="已单独设置",J92="保持原密码"))),COUNTIF($B$6:$B$105,B92)&gt;1,COUNTIF($C$6:$C$105,C92)&gt;1),"待完善","可维护"))</f>
        <v/>
      </c>
    </row>
    <row r="93" spans="1:1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8">
        <f>IF(COUNTA(A93:C93)=0,"",IF(OR(A93="",B93="",NOT(AND(ISTEXT(C93),LEN(C93)=11,SUMPRODUCT(--ISNUMBER(FIND(MID(C93,ROW($1:$11),1),"0123456789")))=11,LEFT(C93,1)="1",ISNUMBER(FIND(MID(C93,2,1),"3456789")))),COUNTIF(D93:H93,"是")=0,I93="",AND(OR(D93="是",E93="是"),NOT(OR(J93="已单独设置",J93="保持原密码"))),COUNTIF($B$6:$B$105,B93)&gt;1,COUNTIF($C$6:$C$105,C93)&gt;1),"待完善","可维护"))</f>
        <v/>
      </c>
    </row>
    <row r="94" spans="1:1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8">
        <f>IF(COUNTA(A94:C94)=0,"",IF(OR(A94="",B94="",NOT(AND(ISTEXT(C94),LEN(C94)=11,SUMPRODUCT(--ISNUMBER(FIND(MID(C94,ROW($1:$11),1),"0123456789")))=11,LEFT(C94,1)="1",ISNUMBER(FIND(MID(C94,2,1),"3456789")))),COUNTIF(D94:H94,"是")=0,I94="",AND(OR(D94="是",E94="是"),NOT(OR(J94="已单独设置",J94="保持原密码"))),COUNTIF($B$6:$B$105,B94)&gt;1,COUNTIF($C$6:$C$105,C94)&gt;1),"待完善","可维护"))</f>
        <v/>
      </c>
    </row>
    <row r="95" spans="1:1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8">
        <f>IF(COUNTA(A95:C95)=0,"",IF(OR(A95="",B95="",NOT(AND(ISTEXT(C95),LEN(C95)=11,SUMPRODUCT(--ISNUMBER(FIND(MID(C95,ROW($1:$11),1),"0123456789")))=11,LEFT(C95,1)="1",ISNUMBER(FIND(MID(C95,2,1),"3456789")))),COUNTIF(D95:H95,"是")=0,I95="",AND(OR(D95="是",E95="是"),NOT(OR(J95="已单独设置",J95="保持原密码"))),COUNTIF($B$6:$B$105,B95)&gt;1,COUNTIF($C$6:$C$105,C95)&gt;1),"待完善","可维护"))</f>
        <v/>
      </c>
    </row>
    <row r="96" spans="1:1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8">
        <f>IF(COUNTA(A96:C96)=0,"",IF(OR(A96="",B96="",NOT(AND(ISTEXT(C96),LEN(C96)=11,SUMPRODUCT(--ISNUMBER(FIND(MID(C96,ROW($1:$11),1),"0123456789")))=11,LEFT(C96,1)="1",ISNUMBER(FIND(MID(C96,2,1),"3456789")))),COUNTIF(D96:H96,"是")=0,I96="",AND(OR(D96="是",E96="是"),NOT(OR(J96="已单独设置",J96="保持原密码"))),COUNTIF($B$6:$B$105,B96)&gt;1,COUNTIF($C$6:$C$105,C96)&gt;1),"待完善","可维护"))</f>
        <v/>
      </c>
    </row>
    <row r="97" spans="1:1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8">
        <f>IF(COUNTA(A97:C97)=0,"",IF(OR(A97="",B97="",NOT(AND(ISTEXT(C97),LEN(C97)=11,SUMPRODUCT(--ISNUMBER(FIND(MID(C97,ROW($1:$11),1),"0123456789")))=11,LEFT(C97,1)="1",ISNUMBER(FIND(MID(C97,2,1),"3456789")))),COUNTIF(D97:H97,"是")=0,I97="",AND(OR(D97="是",E97="是"),NOT(OR(J97="已单独设置",J97="保持原密码"))),COUNTIF($B$6:$B$105,B97)&gt;1,COUNTIF($C$6:$C$105,C97)&gt;1),"待完善","可维护"))</f>
        <v/>
      </c>
    </row>
    <row r="98" spans="1:1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8">
        <f>IF(COUNTA(A98:C98)=0,"",IF(OR(A98="",B98="",NOT(AND(ISTEXT(C98),LEN(C98)=11,SUMPRODUCT(--ISNUMBER(FIND(MID(C98,ROW($1:$11),1),"0123456789")))=11,LEFT(C98,1)="1",ISNUMBER(FIND(MID(C98,2,1),"3456789")))),COUNTIF(D98:H98,"是")=0,I98="",AND(OR(D98="是",E98="是"),NOT(OR(J98="已单独设置",J98="保持原密码"))),COUNTIF($B$6:$B$105,B98)&gt;1,COUNTIF($C$6:$C$105,C98)&gt;1),"待完善","可维护"))</f>
        <v/>
      </c>
    </row>
    <row r="99" spans="1:1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8">
        <f>IF(COUNTA(A99:C99)=0,"",IF(OR(A99="",B99="",NOT(AND(ISTEXT(C99),LEN(C99)=11,SUMPRODUCT(--ISNUMBER(FIND(MID(C99,ROW($1:$11),1),"0123456789")))=11,LEFT(C99,1)="1",ISNUMBER(FIND(MID(C99,2,1),"3456789")))),COUNTIF(D99:H99,"是")=0,I99="",AND(OR(D99="是",E99="是"),NOT(OR(J99="已单独设置",J99="保持原密码"))),COUNTIF($B$6:$B$105,B99)&gt;1,COUNTIF($C$6:$C$105,C99)&gt;1),"待完善","可维护"))</f>
        <v/>
      </c>
    </row>
    <row r="100" spans="1:1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8">
        <f>IF(COUNTA(A100:C100)=0,"",IF(OR(A100="",B100="",NOT(AND(ISTEXT(C100),LEN(C100)=11,SUMPRODUCT(--ISNUMBER(FIND(MID(C100,ROW($1:$11),1),"0123456789")))=11,LEFT(C100,1)="1",ISNUMBER(FIND(MID(C100,2,1),"3456789")))),COUNTIF(D100:H100,"是")=0,I100="",AND(OR(D100="是",E100="是"),NOT(OR(J100="已单独设置",J100="保持原密码"))),COUNTIF($B$6:$B$105,B100)&gt;1,COUNTIF($C$6:$C$105,C100)&gt;1),"待完善","可维护"))</f>
        <v/>
      </c>
    </row>
    <row r="101" spans="1:1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8">
        <f>IF(COUNTA(A101:C101)=0,"",IF(OR(A101="",B101="",NOT(AND(ISTEXT(C101),LEN(C101)=11,SUMPRODUCT(--ISNUMBER(FIND(MID(C101,ROW($1:$11),1),"0123456789")))=11,LEFT(C101,1)="1",ISNUMBER(FIND(MID(C101,2,1),"3456789")))),COUNTIF(D101:H101,"是")=0,I101="",AND(OR(D101="是",E101="是"),NOT(OR(J101="已单独设置",J101="保持原密码"))),COUNTIF($B$6:$B$105,B101)&gt;1,COUNTIF($C$6:$C$105,C101)&gt;1),"待完善","可维护"))</f>
        <v/>
      </c>
    </row>
    <row r="102" spans="1:1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8">
        <f>IF(COUNTA(A102:C102)=0,"",IF(OR(A102="",B102="",NOT(AND(ISTEXT(C102),LEN(C102)=11,SUMPRODUCT(--ISNUMBER(FIND(MID(C102,ROW($1:$11),1),"0123456789")))=11,LEFT(C102,1)="1",ISNUMBER(FIND(MID(C102,2,1),"3456789")))),COUNTIF(D102:H102,"是")=0,I102="",AND(OR(D102="是",E102="是"),NOT(OR(J102="已单独设置",J102="保持原密码"))),COUNTIF($B$6:$B$105,B102)&gt;1,COUNTIF($C$6:$C$105,C102)&gt;1),"待完善","可维护"))</f>
        <v/>
      </c>
    </row>
    <row r="103" spans="1:1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8">
        <f>IF(COUNTA(A103:C103)=0,"",IF(OR(A103="",B103="",NOT(AND(ISTEXT(C103),LEN(C103)=11,SUMPRODUCT(--ISNUMBER(FIND(MID(C103,ROW($1:$11),1),"0123456789")))=11,LEFT(C103,1)="1",ISNUMBER(FIND(MID(C103,2,1),"3456789")))),COUNTIF(D103:H103,"是")=0,I103="",AND(OR(D103="是",E103="是"),NOT(OR(J103="已单独设置",J103="保持原密码"))),COUNTIF($B$6:$B$105,B103)&gt;1,COUNTIF($C$6:$C$105,C103)&gt;1),"待完善","可维护"))</f>
        <v/>
      </c>
    </row>
    <row r="104" spans="1:1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8">
        <f>IF(COUNTA(A104:C104)=0,"",IF(OR(A104="",B104="",NOT(AND(ISTEXT(C104),LEN(C104)=11,SUMPRODUCT(--ISNUMBER(FIND(MID(C104,ROW($1:$11),1),"0123456789")))=11,LEFT(C104,1)="1",ISNUMBER(FIND(MID(C104,2,1),"3456789")))),COUNTIF(D104:H104,"是")=0,I104="",AND(OR(D104="是",E104="是"),NOT(OR(J104="已单独设置",J104="保持原密码"))),COUNTIF($B$6:$B$105,B104)&gt;1,COUNTIF($C$6:$C$105,C104)&gt;1),"待完善","可维护"))</f>
        <v/>
      </c>
    </row>
    <row r="105" spans="1:1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8">
        <f>IF(COUNTA(A105:C105)=0,"",IF(OR(A105="",B105="",NOT(AND(ISTEXT(C105),LEN(C105)=11,SUMPRODUCT(--ISNUMBER(FIND(MID(C105,ROW($1:$11),1),"0123456789")))=11,LEFT(C105,1)="1",ISNUMBER(FIND(MID(C105,2,1),"3456789")))),COUNTIF(D105:H105,"是")=0,I105="",AND(OR(D105="是",E105="是"),NOT(OR(J105="已单独设置",J105="保持原密码"))),COUNTIF($B$6:$B$105,B105)&gt;1,COUNTIF($C$6:$C$105,C105)&gt;1),"待完善","可维护"))</f>
        <v/>
      </c>
    </row>
  </sheetData>
  <mergeCells count="3">
    <mergeCell ref="A1:N1"/>
    <mergeCell ref="A2:N2"/>
    <mergeCell ref="A3:N3"/>
  </mergeCells>
  <conditionalFormatting sqref="N6:N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12">
    <dataValidation type="textLength" operator="lessThanOrEqual" allowBlank="1" showInputMessage="1" showErrorMessage="1" errorTitle="内容过长" error="最多80个字符。" sqref="A6:A105">
      <formula1>80</formula1>
    </dataValidation>
    <dataValidation type="custom" allowBlank="1" showInputMessage="1" showErrorMessage="1" errorTitle="账号重复或过长" error="本表账号不得重复，长度最多80字符。仍需核对后台已有账号。" sqref="B6:B105">
      <formula1>OR(B6="",AND(LEN(B6)&lt;=80,COUNTIF($B$6:$B$105,B6)=1))</formula1>
    </dataValidation>
    <dataValidation type="custom" allowBlank="1" showInputMessage="1" showErrorMessage="1" errorTitle="手机号不正确或重复" error="填本人的11位大陆手机号，文本格式，不能与本表其他用户重复。" sqref="C6:C105">
      <formula1>OR(C6="",AND(ISTEXT(C6),LEN(C6)=11,SUMPRODUCT(--ISNUMBER(FIND(MID(C6,ROW($1:$11),1),"0123456789")))=11,LEFT(C6,1)="1",ISNUMBER(FIND(MID(C6,2,1),"3456789")),COUNTIF($C$6:$C$105,C6)=1))</formula1>
    </dataValidation>
    <dataValidation type="list" allowBlank="1" showInputMessage="1" showErrorMessage="1" errorTitle="请选择下拉项" error="请从下拉列表选择，不要自行修改选项文字。" sqref="D6:D105">
      <formula1>yes_no</formula1>
    </dataValidation>
    <dataValidation type="list" allowBlank="1" showInputMessage="1" showErrorMessage="1" errorTitle="请选择下拉项" error="请从下拉列表选择，不要自行修改选项文字。" sqref="E6:E105">
      <formula1>yes_no</formula1>
    </dataValidation>
    <dataValidation type="list" allowBlank="1" showInputMessage="1" showErrorMessage="1" errorTitle="请选择下拉项" error="请从下拉列表选择，不要自行修改选项文字。" sqref="F6:F105">
      <formula1>yes_no</formula1>
    </dataValidation>
    <dataValidation type="list" allowBlank="1" showInputMessage="1" showErrorMessage="1" errorTitle="请选择下拉项" error="请从下拉列表选择，不要自行修改选项文字。" sqref="G6:G105">
      <formula1>yes_no</formula1>
    </dataValidation>
    <dataValidation type="list" allowBlank="1" showInputMessage="1" showErrorMessage="1" errorTitle="请选择下拉项" error="请从下拉列表选择，不要自行修改选项文字。" sqref="H6:H105">
      <formula1>yes_no</formula1>
    </dataValidation>
    <dataValidation type="list" allowBlank="1" showInputMessage="1" showErrorMessage="1" errorTitle="请选择下拉项" error="请从下拉列表选择，不要自行修改选项文字。" sqref="I6:I105">
      <formula1>yes_no</formula1>
    </dataValidation>
    <dataValidation type="list" allowBlank="1" showInputMessage="1" showErrorMessage="1" errorTitle="请选择下拉项" error="请从下拉列表选择，不要自行修改选项文字。" sqref="J6:J105">
      <formula1>password_status</formula1>
    </dataValidation>
    <dataValidation type="list" allowBlank="1" showInputMessage="1" showErrorMessage="1" errorTitle="请选择下拉项" error="请从下拉列表选择，不要自行修改选项文字。" sqref="K6:K105">
      <formula1>bind_status</formula1>
    </dataValidation>
    <dataValidation type="list" allowBlank="1" showInputMessage="1" showErrorMessage="1" errorTitle="请选择下拉项" error="请从下拉列表选择，不要自行修改选项文字。" sqref="L6:L105">
      <formula1>maint_status</formula1>
    </dataValidation>
  </dataValidations>
  <hyperlinks>
    <hyperlink ref="A4" r:id="rId1"/>
  </hyperlinks>
  <pageMargins left="0.3" right="0.3" top="0.4" bottom="0.4" header="0.3" footer="0.3"/>
  <pageSetup paperSize="8" fitToHeight="0" orientation="landscape"/>
  <headerFooter>
    <oddFooter>&amp;L棚户记账 · 基础数据维护1.2.2&amp;R第 &amp;P 页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F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8.7109375" style="6" customWidth="1"/>
    <col min="2" max="2" width="20.7109375" style="6" customWidth="1"/>
    <col min="3" max="3" width="23.7109375" style="6" customWidth="1"/>
    <col min="4" max="4" width="11.7109375" style="6" customWidth="1"/>
    <col min="5" max="5" width="17.7109375" style="6" customWidth="1"/>
    <col min="6" max="6" width="48.7109375" style="6" customWidth="1"/>
  </cols>
  <sheetData>
    <row r="1" spans="1:6" ht="36" customHeight="1">
      <c r="A1" s="1" t="s">
        <v>186</v>
      </c>
      <c r="B1" s="1"/>
      <c r="C1" s="1"/>
      <c r="D1" s="1"/>
      <c r="E1" s="1"/>
      <c r="F1" s="1"/>
    </row>
    <row r="2" spans="1:6" ht="42" customHeight="1">
      <c r="A2" s="2" t="s">
        <v>187</v>
      </c>
      <c r="B2" s="2"/>
      <c r="C2" s="2"/>
      <c r="D2" s="2"/>
      <c r="E2" s="2"/>
      <c r="F2" s="2"/>
    </row>
    <row r="3" spans="1:6" ht="38" customHeight="1">
      <c r="A3" s="2" t="s">
        <v>188</v>
      </c>
      <c r="B3" s="2"/>
      <c r="C3" s="2"/>
      <c r="D3" s="2"/>
      <c r="E3" s="2"/>
      <c r="F3" s="2"/>
    </row>
    <row r="4" spans="1:6">
      <c r="A4" s="5" t="s">
        <v>172</v>
      </c>
    </row>
    <row r="5" spans="1:6" ht="44" customHeight="1">
      <c r="A5" s="3" t="s">
        <v>189</v>
      </c>
      <c r="B5" s="3" t="s">
        <v>190</v>
      </c>
      <c r="C5" s="3" t="s">
        <v>191</v>
      </c>
      <c r="D5" s="3" t="s">
        <v>181</v>
      </c>
      <c r="E5" s="3" t="s">
        <v>184</v>
      </c>
      <c r="F5" s="3" t="s">
        <v>88</v>
      </c>
    </row>
    <row r="6" spans="1:6">
      <c r="A6" s="6"/>
      <c r="B6" s="6"/>
      <c r="C6" s="6"/>
      <c r="D6" s="6"/>
      <c r="E6" s="6"/>
      <c r="F6" s="6"/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6"/>
      <c r="B25" s="6"/>
      <c r="C25" s="6"/>
      <c r="D25" s="6"/>
      <c r="E25" s="6"/>
      <c r="F25" s="6"/>
    </row>
    <row r="26" spans="1:6">
      <c r="A26" s="6"/>
      <c r="B26" s="6"/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  <row r="36" spans="1:6">
      <c r="A36" s="6"/>
      <c r="B36" s="6"/>
      <c r="C36" s="6"/>
      <c r="D36" s="6"/>
      <c r="E36" s="6"/>
      <c r="F36" s="6"/>
    </row>
    <row r="37" spans="1:6">
      <c r="A37" s="6"/>
      <c r="B37" s="6"/>
      <c r="C37" s="6"/>
      <c r="D37" s="6"/>
      <c r="E37" s="6"/>
      <c r="F37" s="6"/>
    </row>
    <row r="38" spans="1:6">
      <c r="A38" s="6"/>
      <c r="B38" s="6"/>
      <c r="C38" s="6"/>
      <c r="D38" s="6"/>
      <c r="E38" s="6"/>
      <c r="F38" s="6"/>
    </row>
    <row r="39" spans="1:6">
      <c r="A39" s="6"/>
      <c r="B39" s="6"/>
      <c r="C39" s="6"/>
      <c r="D39" s="6"/>
      <c r="E39" s="6"/>
      <c r="F39" s="6"/>
    </row>
    <row r="40" spans="1:6">
      <c r="A40" s="6"/>
      <c r="B40" s="6"/>
      <c r="C40" s="6"/>
      <c r="D40" s="6"/>
      <c r="E40" s="6"/>
      <c r="F40" s="6"/>
    </row>
    <row r="41" spans="1:6">
      <c r="A41" s="6"/>
      <c r="B41" s="6"/>
      <c r="C41" s="6"/>
      <c r="D41" s="6"/>
      <c r="E41" s="6"/>
      <c r="F41" s="6"/>
    </row>
    <row r="42" spans="1:6">
      <c r="A42" s="6"/>
      <c r="B42" s="6"/>
      <c r="C42" s="6"/>
      <c r="D42" s="6"/>
      <c r="E42" s="6"/>
      <c r="F42" s="6"/>
    </row>
    <row r="43" spans="1:6">
      <c r="A43" s="6"/>
      <c r="B43" s="6"/>
      <c r="C43" s="6"/>
      <c r="D43" s="6"/>
      <c r="E43" s="6"/>
      <c r="F43" s="6"/>
    </row>
    <row r="44" spans="1:6">
      <c r="A44" s="6"/>
      <c r="B44" s="6"/>
      <c r="C44" s="6"/>
      <c r="D44" s="6"/>
      <c r="E44" s="6"/>
      <c r="F44" s="6"/>
    </row>
    <row r="45" spans="1:6">
      <c r="A45" s="6"/>
      <c r="B45" s="6"/>
      <c r="C45" s="6"/>
      <c r="D45" s="6"/>
      <c r="E45" s="6"/>
      <c r="F45" s="6"/>
    </row>
    <row r="46" spans="1:6">
      <c r="A46" s="6"/>
      <c r="B46" s="6"/>
      <c r="C46" s="6"/>
      <c r="D46" s="6"/>
      <c r="E46" s="6"/>
      <c r="F46" s="6"/>
    </row>
    <row r="47" spans="1:6">
      <c r="A47" s="6"/>
      <c r="B47" s="6"/>
      <c r="C47" s="6"/>
      <c r="D47" s="6"/>
      <c r="E47" s="6"/>
      <c r="F47" s="6"/>
    </row>
    <row r="48" spans="1:6">
      <c r="A48" s="6"/>
      <c r="B48" s="6"/>
      <c r="C48" s="6"/>
      <c r="D48" s="6"/>
      <c r="E48" s="6"/>
      <c r="F48" s="6"/>
    </row>
    <row r="49" spans="1:6">
      <c r="A49" s="6"/>
      <c r="B49" s="6"/>
      <c r="C49" s="6"/>
      <c r="D49" s="6"/>
      <c r="E49" s="6"/>
      <c r="F49" s="6"/>
    </row>
    <row r="50" spans="1:6">
      <c r="A50" s="6"/>
      <c r="B50" s="6"/>
      <c r="C50" s="6"/>
      <c r="D50" s="6"/>
      <c r="E50" s="6"/>
      <c r="F50" s="6"/>
    </row>
    <row r="51" spans="1:6">
      <c r="A51" s="6"/>
      <c r="B51" s="6"/>
      <c r="C51" s="6"/>
      <c r="D51" s="6"/>
      <c r="E51" s="6"/>
      <c r="F51" s="6"/>
    </row>
    <row r="52" spans="1:6">
      <c r="A52" s="6"/>
      <c r="B52" s="6"/>
      <c r="C52" s="6"/>
      <c r="D52" s="6"/>
      <c r="E52" s="6"/>
      <c r="F52" s="6"/>
    </row>
    <row r="53" spans="1:6">
      <c r="A53" s="6"/>
      <c r="B53" s="6"/>
      <c r="C53" s="6"/>
      <c r="D53" s="6"/>
      <c r="E53" s="6"/>
      <c r="F53" s="6"/>
    </row>
    <row r="54" spans="1:6">
      <c r="A54" s="6"/>
      <c r="B54" s="6"/>
      <c r="C54" s="6"/>
      <c r="D54" s="6"/>
      <c r="E54" s="6"/>
      <c r="F54" s="6"/>
    </row>
    <row r="55" spans="1:6">
      <c r="A55" s="6"/>
      <c r="B55" s="6"/>
      <c r="C55" s="6"/>
      <c r="D55" s="6"/>
      <c r="E55" s="6"/>
      <c r="F55" s="6"/>
    </row>
    <row r="56" spans="1:6">
      <c r="A56" s="6"/>
      <c r="B56" s="6"/>
      <c r="C56" s="6"/>
      <c r="D56" s="6"/>
      <c r="E56" s="6"/>
      <c r="F56" s="6"/>
    </row>
    <row r="57" spans="1:6">
      <c r="A57" s="6"/>
      <c r="B57" s="6"/>
      <c r="C57" s="6"/>
      <c r="D57" s="6"/>
      <c r="E57" s="6"/>
      <c r="F57" s="6"/>
    </row>
    <row r="58" spans="1:6">
      <c r="A58" s="6"/>
      <c r="B58" s="6"/>
      <c r="C58" s="6"/>
      <c r="D58" s="6"/>
      <c r="E58" s="6"/>
      <c r="F58" s="6"/>
    </row>
    <row r="59" spans="1:6">
      <c r="A59" s="6"/>
      <c r="B59" s="6"/>
      <c r="C59" s="6"/>
      <c r="D59" s="6"/>
      <c r="E59" s="6"/>
      <c r="F59" s="6"/>
    </row>
    <row r="60" spans="1:6">
      <c r="A60" s="6"/>
      <c r="B60" s="6"/>
      <c r="C60" s="6"/>
      <c r="D60" s="6"/>
      <c r="E60" s="6"/>
      <c r="F60" s="6"/>
    </row>
    <row r="61" spans="1:6">
      <c r="A61" s="6"/>
      <c r="B61" s="6"/>
      <c r="C61" s="6"/>
      <c r="D61" s="6"/>
      <c r="E61" s="6"/>
      <c r="F61" s="6"/>
    </row>
    <row r="62" spans="1:6">
      <c r="A62" s="6"/>
      <c r="B62" s="6"/>
      <c r="C62" s="6"/>
      <c r="D62" s="6"/>
      <c r="E62" s="6"/>
      <c r="F62" s="6"/>
    </row>
    <row r="63" spans="1:6">
      <c r="A63" s="6"/>
      <c r="B63" s="6"/>
      <c r="C63" s="6"/>
      <c r="D63" s="6"/>
      <c r="E63" s="6"/>
      <c r="F63" s="6"/>
    </row>
    <row r="64" spans="1:6">
      <c r="A64" s="6"/>
      <c r="B64" s="6"/>
      <c r="C64" s="6"/>
      <c r="D64" s="6"/>
      <c r="E64" s="6"/>
      <c r="F64" s="6"/>
    </row>
    <row r="65" spans="1:6">
      <c r="A65" s="6"/>
      <c r="B65" s="6"/>
      <c r="C65" s="6"/>
      <c r="D65" s="6"/>
      <c r="E65" s="6"/>
      <c r="F65" s="6"/>
    </row>
    <row r="66" spans="1:6">
      <c r="A66" s="6"/>
      <c r="B66" s="6"/>
      <c r="C66" s="6"/>
      <c r="D66" s="6"/>
      <c r="E66" s="6"/>
      <c r="F66" s="6"/>
    </row>
    <row r="67" spans="1:6">
      <c r="A67" s="6"/>
      <c r="B67" s="6"/>
      <c r="C67" s="6"/>
      <c r="D67" s="6"/>
      <c r="E67" s="6"/>
      <c r="F67" s="6"/>
    </row>
    <row r="68" spans="1:6">
      <c r="A68" s="6"/>
      <c r="B68" s="6"/>
      <c r="C68" s="6"/>
      <c r="D68" s="6"/>
      <c r="E68" s="6"/>
      <c r="F68" s="6"/>
    </row>
    <row r="69" spans="1:6">
      <c r="A69" s="6"/>
      <c r="B69" s="6"/>
      <c r="C69" s="6"/>
      <c r="D69" s="6"/>
      <c r="E69" s="6"/>
      <c r="F69" s="6"/>
    </row>
    <row r="70" spans="1:6">
      <c r="A70" s="6"/>
      <c r="B70" s="6"/>
      <c r="C70" s="6"/>
      <c r="D70" s="6"/>
      <c r="E70" s="6"/>
      <c r="F70" s="6"/>
    </row>
    <row r="71" spans="1:6">
      <c r="A71" s="6"/>
      <c r="B71" s="6"/>
      <c r="C71" s="6"/>
      <c r="D71" s="6"/>
      <c r="E71" s="6"/>
      <c r="F71" s="6"/>
    </row>
    <row r="72" spans="1:6">
      <c r="A72" s="6"/>
      <c r="B72" s="6"/>
      <c r="C72" s="6"/>
      <c r="D72" s="6"/>
      <c r="E72" s="6"/>
      <c r="F72" s="6"/>
    </row>
    <row r="73" spans="1:6">
      <c r="A73" s="6"/>
      <c r="B73" s="6"/>
      <c r="C73" s="6"/>
      <c r="D73" s="6"/>
      <c r="E73" s="6"/>
      <c r="F73" s="6"/>
    </row>
    <row r="74" spans="1:6">
      <c r="A74" s="6"/>
      <c r="B74" s="6"/>
      <c r="C74" s="6"/>
      <c r="D74" s="6"/>
      <c r="E74" s="6"/>
      <c r="F74" s="6"/>
    </row>
    <row r="75" spans="1:6">
      <c r="A75" s="6"/>
      <c r="B75" s="6"/>
      <c r="C75" s="6"/>
      <c r="D75" s="6"/>
      <c r="E75" s="6"/>
      <c r="F75" s="6"/>
    </row>
    <row r="76" spans="1:6">
      <c r="A76" s="6"/>
      <c r="B76" s="6"/>
      <c r="C76" s="6"/>
      <c r="D76" s="6"/>
      <c r="E76" s="6"/>
      <c r="F76" s="6"/>
    </row>
    <row r="77" spans="1:6">
      <c r="A77" s="6"/>
      <c r="B77" s="6"/>
      <c r="C77" s="6"/>
      <c r="D77" s="6"/>
      <c r="E77" s="6"/>
      <c r="F77" s="6"/>
    </row>
    <row r="78" spans="1:6">
      <c r="A78" s="6"/>
      <c r="B78" s="6"/>
      <c r="C78" s="6"/>
      <c r="D78" s="6"/>
      <c r="E78" s="6"/>
      <c r="F78" s="6"/>
    </row>
    <row r="79" spans="1:6">
      <c r="A79" s="6"/>
      <c r="B79" s="6"/>
      <c r="C79" s="6"/>
      <c r="D79" s="6"/>
      <c r="E79" s="6"/>
      <c r="F79" s="6"/>
    </row>
    <row r="80" spans="1:6">
      <c r="A80" s="6"/>
      <c r="B80" s="6"/>
      <c r="C80" s="6"/>
      <c r="D80" s="6"/>
      <c r="E80" s="6"/>
      <c r="F80" s="6"/>
    </row>
    <row r="81" spans="1:6">
      <c r="A81" s="6"/>
      <c r="B81" s="6"/>
      <c r="C81" s="6"/>
      <c r="D81" s="6"/>
      <c r="E81" s="6"/>
      <c r="F81" s="6"/>
    </row>
    <row r="82" spans="1:6">
      <c r="A82" s="6"/>
      <c r="B82" s="6"/>
      <c r="C82" s="6"/>
      <c r="D82" s="6"/>
      <c r="E82" s="6"/>
      <c r="F82" s="6"/>
    </row>
    <row r="83" spans="1:6">
      <c r="A83" s="6"/>
      <c r="B83" s="6"/>
      <c r="C83" s="6"/>
      <c r="D83" s="6"/>
      <c r="E83" s="6"/>
      <c r="F83" s="6"/>
    </row>
    <row r="84" spans="1:6">
      <c r="A84" s="6"/>
      <c r="B84" s="6"/>
      <c r="C84" s="6"/>
      <c r="D84" s="6"/>
      <c r="E84" s="6"/>
      <c r="F84" s="6"/>
    </row>
    <row r="85" spans="1:6">
      <c r="A85" s="6"/>
      <c r="B85" s="6"/>
      <c r="C85" s="6"/>
      <c r="D85" s="6"/>
      <c r="E85" s="6"/>
      <c r="F85" s="6"/>
    </row>
    <row r="86" spans="1:6">
      <c r="A86" s="6"/>
      <c r="B86" s="6"/>
      <c r="C86" s="6"/>
      <c r="D86" s="6"/>
      <c r="E86" s="6"/>
      <c r="F86" s="6"/>
    </row>
    <row r="87" spans="1:6">
      <c r="A87" s="6"/>
      <c r="B87" s="6"/>
      <c r="C87" s="6"/>
      <c r="D87" s="6"/>
      <c r="E87" s="6"/>
      <c r="F87" s="6"/>
    </row>
    <row r="88" spans="1:6">
      <c r="A88" s="6"/>
      <c r="B88" s="6"/>
      <c r="C88" s="6"/>
      <c r="D88" s="6"/>
      <c r="E88" s="6"/>
      <c r="F88" s="6"/>
    </row>
    <row r="89" spans="1:6">
      <c r="A89" s="6"/>
      <c r="B89" s="6"/>
      <c r="C89" s="6"/>
      <c r="D89" s="6"/>
      <c r="E89" s="6"/>
      <c r="F89" s="6"/>
    </row>
    <row r="90" spans="1:6">
      <c r="A90" s="6"/>
      <c r="B90" s="6"/>
      <c r="C90" s="6"/>
      <c r="D90" s="6"/>
      <c r="E90" s="6"/>
      <c r="F90" s="6"/>
    </row>
    <row r="91" spans="1:6">
      <c r="A91" s="6"/>
      <c r="B91" s="6"/>
      <c r="C91" s="6"/>
      <c r="D91" s="6"/>
      <c r="E91" s="6"/>
      <c r="F91" s="6"/>
    </row>
    <row r="92" spans="1:6">
      <c r="A92" s="6"/>
      <c r="B92" s="6"/>
      <c r="C92" s="6"/>
      <c r="D92" s="6"/>
      <c r="E92" s="6"/>
      <c r="F92" s="6"/>
    </row>
    <row r="93" spans="1:6">
      <c r="A93" s="6"/>
      <c r="B93" s="6"/>
      <c r="C93" s="6"/>
      <c r="D93" s="6"/>
      <c r="E93" s="6"/>
      <c r="F93" s="6"/>
    </row>
    <row r="94" spans="1:6">
      <c r="A94" s="6"/>
      <c r="B94" s="6"/>
      <c r="C94" s="6"/>
      <c r="D94" s="6"/>
      <c r="E94" s="6"/>
      <c r="F94" s="6"/>
    </row>
    <row r="95" spans="1:6">
      <c r="A95" s="6"/>
      <c r="B95" s="6"/>
      <c r="C95" s="6"/>
      <c r="D95" s="6"/>
      <c r="E95" s="6"/>
      <c r="F95" s="6"/>
    </row>
    <row r="96" spans="1:6">
      <c r="A96" s="6"/>
      <c r="B96" s="6"/>
      <c r="C96" s="6"/>
      <c r="D96" s="6"/>
      <c r="E96" s="6"/>
      <c r="F96" s="6"/>
    </row>
    <row r="97" spans="1:6">
      <c r="A97" s="6"/>
      <c r="B97" s="6"/>
      <c r="C97" s="6"/>
      <c r="D97" s="6"/>
      <c r="E97" s="6"/>
      <c r="F97" s="6"/>
    </row>
    <row r="98" spans="1:6">
      <c r="A98" s="6"/>
      <c r="B98" s="6"/>
      <c r="C98" s="6"/>
      <c r="D98" s="6"/>
      <c r="E98" s="6"/>
      <c r="F98" s="6"/>
    </row>
    <row r="99" spans="1:6">
      <c r="A99" s="6"/>
      <c r="B99" s="6"/>
      <c r="C99" s="6"/>
      <c r="D99" s="6"/>
      <c r="E99" s="6"/>
      <c r="F99" s="6"/>
    </row>
    <row r="100" spans="1:6">
      <c r="A100" s="6"/>
      <c r="B100" s="6"/>
      <c r="C100" s="6"/>
      <c r="D100" s="6"/>
      <c r="E100" s="6"/>
      <c r="F100" s="6"/>
    </row>
    <row r="101" spans="1:6">
      <c r="A101" s="6"/>
      <c r="B101" s="6"/>
      <c r="C101" s="6"/>
      <c r="D101" s="6"/>
      <c r="E101" s="6"/>
      <c r="F101" s="6"/>
    </row>
    <row r="102" spans="1:6">
      <c r="A102" s="6"/>
      <c r="B102" s="6"/>
      <c r="C102" s="6"/>
      <c r="D102" s="6"/>
      <c r="E102" s="6"/>
      <c r="F102" s="6"/>
    </row>
    <row r="103" spans="1:6">
      <c r="A103" s="6"/>
      <c r="B103" s="6"/>
      <c r="C103" s="6"/>
      <c r="D103" s="6"/>
      <c r="E103" s="6"/>
      <c r="F103" s="6"/>
    </row>
    <row r="104" spans="1:6">
      <c r="A104" s="6"/>
      <c r="B104" s="6"/>
      <c r="C104" s="6"/>
      <c r="D104" s="6"/>
      <c r="E104" s="6"/>
      <c r="F104" s="6"/>
    </row>
    <row r="105" spans="1:6">
      <c r="A105" s="6"/>
      <c r="B105" s="6"/>
      <c r="C105" s="6"/>
      <c r="D105" s="6"/>
      <c r="E105" s="6"/>
      <c r="F105" s="6"/>
    </row>
  </sheetData>
  <mergeCells count="3">
    <mergeCell ref="A1:F1"/>
    <mergeCell ref="A2:F2"/>
    <mergeCell ref="A3:F3"/>
  </mergeCells>
  <conditionalFormatting sqref="E6:E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5">
    <dataValidation type="textLength" operator="lessThanOrEqual" allowBlank="1" showInputMessage="1" showErrorMessage="1" errorTitle="内容过长" error="最多100个字符。" sqref="A6:A105">
      <formula1>100</formula1>
    </dataValidation>
    <dataValidation type="textLength" operator="lessThanOrEqual" allowBlank="1" showInputMessage="1" showErrorMessage="1" errorTitle="内容过长" error="最多80个字符。" sqref="B6:B105">
      <formula1>80</formula1>
    </dataValidation>
    <dataValidation type="textLength" operator="lessThanOrEqual" allowBlank="1" showInputMessage="1" showErrorMessage="1" errorTitle="内容过长" error="最多32个字符。" sqref="C6:C105">
      <formula1>32</formula1>
    </dataValidation>
    <dataValidation type="list" allowBlank="1" showInputMessage="1" showErrorMessage="1" errorTitle="请选择下拉项" error="请从下拉列表选择，不要自行修改选项文字。" sqref="D6:D105">
      <formula1>yes_no</formula1>
    </dataValidation>
    <dataValidation type="list" allowBlank="1" showInputMessage="1" showErrorMessage="1" errorTitle="请选择下拉项" error="请从下拉列表选择，不要自行修改选项文字。" sqref="E6:E105">
      <formula1>maint_status</formula1>
    </dataValidation>
  </dataValidations>
  <hyperlinks>
    <hyperlink ref="A4" r:id="rId1"/>
  </hyperlinks>
  <pageMargins left="0.3" right="0.3" top="0.4" bottom="0.4" header="0.3" footer="0.3"/>
  <pageSetup paperSize="9" fitToHeight="0" orientation="landscape"/>
  <headerFooter>
    <oddFooter>&amp;L棚户记账 · 基础数据维护1.2.2&amp;R第 &amp;P 页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H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6.7109375" style="6" customWidth="1"/>
    <col min="2" max="2" width="15.7109375" style="6" customWidth="1"/>
    <col min="3" max="3" width="32.7109375" style="6" customWidth="1"/>
    <col min="4" max="4" width="18.7109375" style="6" customWidth="1"/>
    <col min="5" max="5" width="23.7109375" style="6" customWidth="1"/>
    <col min="6" max="6" width="11.7109375" style="6" customWidth="1"/>
    <col min="7" max="7" width="17.7109375" style="6" customWidth="1"/>
    <col min="8" max="8" width="45.7109375" style="6" customWidth="1"/>
  </cols>
  <sheetData>
    <row r="1" spans="1:8" ht="36" customHeight="1">
      <c r="A1" s="1" t="s">
        <v>194</v>
      </c>
      <c r="B1" s="1"/>
      <c r="C1" s="1"/>
      <c r="D1" s="1"/>
      <c r="E1" s="1"/>
      <c r="F1" s="1"/>
      <c r="G1" s="1"/>
      <c r="H1" s="1"/>
    </row>
    <row r="2" spans="1:8" ht="42" customHeight="1">
      <c r="A2" s="2" t="s">
        <v>195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196</v>
      </c>
      <c r="B3" s="2"/>
      <c r="C3" s="2"/>
      <c r="D3" s="2"/>
      <c r="E3" s="2"/>
      <c r="F3" s="2"/>
      <c r="G3" s="2"/>
      <c r="H3" s="2"/>
    </row>
    <row r="4" spans="1:8">
      <c r="A4" s="5" t="s">
        <v>172</v>
      </c>
    </row>
    <row r="5" spans="1:8" ht="44" customHeight="1">
      <c r="A5" s="3" t="s">
        <v>189</v>
      </c>
      <c r="B5" s="3" t="s">
        <v>197</v>
      </c>
      <c r="C5" s="3" t="s">
        <v>198</v>
      </c>
      <c r="D5" s="3" t="s">
        <v>190</v>
      </c>
      <c r="E5" s="3" t="s">
        <v>191</v>
      </c>
      <c r="F5" s="3" t="s">
        <v>181</v>
      </c>
      <c r="G5" s="3" t="s">
        <v>184</v>
      </c>
      <c r="H5" s="3" t="s">
        <v>88</v>
      </c>
    </row>
    <row r="6" spans="1:8">
      <c r="A6" s="6"/>
      <c r="B6" s="6"/>
      <c r="C6" s="6"/>
      <c r="D6" s="6"/>
      <c r="E6" s="6"/>
      <c r="F6" s="6"/>
      <c r="G6" s="6"/>
      <c r="H6" s="6"/>
    </row>
    <row r="7" spans="1:8">
      <c r="A7" s="6"/>
      <c r="B7" s="6"/>
      <c r="C7" s="6"/>
      <c r="D7" s="6"/>
      <c r="E7" s="6"/>
      <c r="F7" s="6"/>
      <c r="G7" s="6"/>
      <c r="H7" s="6"/>
    </row>
    <row r="8" spans="1:8">
      <c r="A8" s="6"/>
      <c r="B8" s="6"/>
      <c r="C8" s="6"/>
      <c r="D8" s="6"/>
      <c r="E8" s="6"/>
      <c r="F8" s="6"/>
      <c r="G8" s="6"/>
      <c r="H8" s="6"/>
    </row>
    <row r="9" spans="1:8">
      <c r="A9" s="6"/>
      <c r="B9" s="6"/>
      <c r="C9" s="6"/>
      <c r="D9" s="6"/>
      <c r="E9" s="6"/>
      <c r="F9" s="6"/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6"/>
      <c r="B11" s="6"/>
      <c r="C11" s="6"/>
      <c r="D11" s="6"/>
      <c r="E11" s="6"/>
      <c r="F11" s="6"/>
      <c r="G11" s="6"/>
      <c r="H11" s="6"/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>
      <c r="A13" s="6"/>
      <c r="B13" s="6"/>
      <c r="C13" s="6"/>
      <c r="D13" s="6"/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spans="1:8">
      <c r="A17" s="6"/>
      <c r="B17" s="6"/>
      <c r="C17" s="6"/>
      <c r="D17" s="6"/>
      <c r="E17" s="6"/>
      <c r="F17" s="6"/>
      <c r="G17" s="6"/>
      <c r="H17" s="6"/>
    </row>
    <row r="18" spans="1:8">
      <c r="A18" s="6"/>
      <c r="B18" s="6"/>
      <c r="C18" s="6"/>
      <c r="D18" s="6"/>
      <c r="E18" s="6"/>
      <c r="F18" s="6"/>
      <c r="G18" s="6"/>
      <c r="H18" s="6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6"/>
      <c r="B21" s="6"/>
      <c r="C21" s="6"/>
      <c r="D21" s="6"/>
      <c r="E21" s="6"/>
      <c r="F21" s="6"/>
      <c r="G21" s="6"/>
      <c r="H21" s="6"/>
    </row>
    <row r="22" spans="1:8">
      <c r="A22" s="6"/>
      <c r="B22" s="6"/>
      <c r="C22" s="6"/>
      <c r="D22" s="6"/>
      <c r="E22" s="6"/>
      <c r="F22" s="6"/>
      <c r="G22" s="6"/>
      <c r="H22" s="6"/>
    </row>
    <row r="23" spans="1:8">
      <c r="A23" s="6"/>
      <c r="B23" s="6"/>
      <c r="C23" s="6"/>
      <c r="D23" s="6"/>
      <c r="E23" s="6"/>
      <c r="F23" s="6"/>
      <c r="G23" s="6"/>
      <c r="H23" s="6"/>
    </row>
    <row r="24" spans="1:8">
      <c r="A24" s="6"/>
      <c r="B24" s="6"/>
      <c r="C24" s="6"/>
      <c r="D24" s="6"/>
      <c r="E24" s="6"/>
      <c r="F24" s="6"/>
      <c r="G24" s="6"/>
      <c r="H24" s="6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6"/>
      <c r="B28" s="6"/>
      <c r="C28" s="6"/>
      <c r="D28" s="6"/>
      <c r="E28" s="6"/>
      <c r="F28" s="6"/>
      <c r="G28" s="6"/>
      <c r="H28" s="6"/>
    </row>
    <row r="29" spans="1:8">
      <c r="A29" s="6"/>
      <c r="B29" s="6"/>
      <c r="C29" s="6"/>
      <c r="D29" s="6"/>
      <c r="E29" s="6"/>
      <c r="F29" s="6"/>
      <c r="G29" s="6"/>
      <c r="H29" s="6"/>
    </row>
    <row r="30" spans="1:8">
      <c r="A30" s="6"/>
      <c r="B30" s="6"/>
      <c r="C30" s="6"/>
      <c r="D30" s="6"/>
      <c r="E30" s="6"/>
      <c r="F30" s="6"/>
      <c r="G30" s="6"/>
      <c r="H30" s="6"/>
    </row>
    <row r="31" spans="1:8">
      <c r="A31" s="6"/>
      <c r="B31" s="6"/>
      <c r="C31" s="6"/>
      <c r="D31" s="6"/>
      <c r="E31" s="6"/>
      <c r="F31" s="6"/>
      <c r="G31" s="6"/>
      <c r="H31" s="6"/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>
      <c r="A33" s="6"/>
      <c r="B33" s="6"/>
      <c r="C33" s="6"/>
      <c r="D33" s="6"/>
      <c r="E33" s="6"/>
      <c r="F33" s="6"/>
      <c r="G33" s="6"/>
      <c r="H33" s="6"/>
    </row>
    <row r="34" spans="1:8">
      <c r="A34" s="6"/>
      <c r="B34" s="6"/>
      <c r="C34" s="6"/>
      <c r="D34" s="6"/>
      <c r="E34" s="6"/>
      <c r="F34" s="6"/>
      <c r="G34" s="6"/>
      <c r="H34" s="6"/>
    </row>
    <row r="35" spans="1:8">
      <c r="A35" s="6"/>
      <c r="B35" s="6"/>
      <c r="C35" s="6"/>
      <c r="D35" s="6"/>
      <c r="E35" s="6"/>
      <c r="F35" s="6"/>
      <c r="G35" s="6"/>
      <c r="H35" s="6"/>
    </row>
    <row r="36" spans="1:8">
      <c r="A36" s="6"/>
      <c r="B36" s="6"/>
      <c r="C36" s="6"/>
      <c r="D36" s="6"/>
      <c r="E36" s="6"/>
      <c r="F36" s="6"/>
      <c r="G36" s="6"/>
      <c r="H36" s="6"/>
    </row>
    <row r="37" spans="1:8">
      <c r="A37" s="6"/>
      <c r="B37" s="6"/>
      <c r="C37" s="6"/>
      <c r="D37" s="6"/>
      <c r="E37" s="6"/>
      <c r="F37" s="6"/>
      <c r="G37" s="6"/>
      <c r="H37" s="6"/>
    </row>
    <row r="38" spans="1:8">
      <c r="A38" s="6"/>
      <c r="B38" s="6"/>
      <c r="C38" s="6"/>
      <c r="D38" s="6"/>
      <c r="E38" s="6"/>
      <c r="F38" s="6"/>
      <c r="G38" s="6"/>
      <c r="H38" s="6"/>
    </row>
    <row r="39" spans="1:8">
      <c r="A39" s="6"/>
      <c r="B39" s="6"/>
      <c r="C39" s="6"/>
      <c r="D39" s="6"/>
      <c r="E39" s="6"/>
      <c r="F39" s="6"/>
      <c r="G39" s="6"/>
      <c r="H39" s="6"/>
    </row>
    <row r="40" spans="1:8">
      <c r="A40" s="6"/>
      <c r="B40" s="6"/>
      <c r="C40" s="6"/>
      <c r="D40" s="6"/>
      <c r="E40" s="6"/>
      <c r="F40" s="6"/>
      <c r="G40" s="6"/>
      <c r="H40" s="6"/>
    </row>
    <row r="41" spans="1:8">
      <c r="A41" s="6"/>
      <c r="B41" s="6"/>
      <c r="C41" s="6"/>
      <c r="D41" s="6"/>
      <c r="E41" s="6"/>
      <c r="F41" s="6"/>
      <c r="G41" s="6"/>
      <c r="H41" s="6"/>
    </row>
    <row r="42" spans="1:8">
      <c r="A42" s="6"/>
      <c r="B42" s="6"/>
      <c r="C42" s="6"/>
      <c r="D42" s="6"/>
      <c r="E42" s="6"/>
      <c r="F42" s="6"/>
      <c r="G42" s="6"/>
      <c r="H42" s="6"/>
    </row>
    <row r="43" spans="1:8">
      <c r="A43" s="6"/>
      <c r="B43" s="6"/>
      <c r="C43" s="6"/>
      <c r="D43" s="6"/>
      <c r="E43" s="6"/>
      <c r="F43" s="6"/>
      <c r="G43" s="6"/>
      <c r="H43" s="6"/>
    </row>
    <row r="44" spans="1:8">
      <c r="A44" s="6"/>
      <c r="B44" s="6"/>
      <c r="C44" s="6"/>
      <c r="D44" s="6"/>
      <c r="E44" s="6"/>
      <c r="F44" s="6"/>
      <c r="G44" s="6"/>
      <c r="H44" s="6"/>
    </row>
    <row r="45" spans="1:8">
      <c r="A45" s="6"/>
      <c r="B45" s="6"/>
      <c r="C45" s="6"/>
      <c r="D45" s="6"/>
      <c r="E45" s="6"/>
      <c r="F45" s="6"/>
      <c r="G45" s="6"/>
      <c r="H45" s="6"/>
    </row>
    <row r="46" spans="1:8">
      <c r="A46" s="6"/>
      <c r="B46" s="6"/>
      <c r="C46" s="6"/>
      <c r="D46" s="6"/>
      <c r="E46" s="6"/>
      <c r="F46" s="6"/>
      <c r="G46" s="6"/>
      <c r="H46" s="6"/>
    </row>
    <row r="47" spans="1:8">
      <c r="A47" s="6"/>
      <c r="B47" s="6"/>
      <c r="C47" s="6"/>
      <c r="D47" s="6"/>
      <c r="E47" s="6"/>
      <c r="F47" s="6"/>
      <c r="G47" s="6"/>
      <c r="H47" s="6"/>
    </row>
    <row r="48" spans="1:8">
      <c r="A48" s="6"/>
      <c r="B48" s="6"/>
      <c r="C48" s="6"/>
      <c r="D48" s="6"/>
      <c r="E48" s="6"/>
      <c r="F48" s="6"/>
      <c r="G48" s="6"/>
      <c r="H48" s="6"/>
    </row>
    <row r="49" spans="1:8">
      <c r="A49" s="6"/>
      <c r="B49" s="6"/>
      <c r="C49" s="6"/>
      <c r="D49" s="6"/>
      <c r="E49" s="6"/>
      <c r="F49" s="6"/>
      <c r="G49" s="6"/>
      <c r="H49" s="6"/>
    </row>
    <row r="50" spans="1:8">
      <c r="A50" s="6"/>
      <c r="B50" s="6"/>
      <c r="C50" s="6"/>
      <c r="D50" s="6"/>
      <c r="E50" s="6"/>
      <c r="F50" s="6"/>
      <c r="G50" s="6"/>
      <c r="H50" s="6"/>
    </row>
    <row r="51" spans="1:8">
      <c r="A51" s="6"/>
      <c r="B51" s="6"/>
      <c r="C51" s="6"/>
      <c r="D51" s="6"/>
      <c r="E51" s="6"/>
      <c r="F51" s="6"/>
      <c r="G51" s="6"/>
      <c r="H51" s="6"/>
    </row>
    <row r="52" spans="1:8">
      <c r="A52" s="6"/>
      <c r="B52" s="6"/>
      <c r="C52" s="6"/>
      <c r="D52" s="6"/>
      <c r="E52" s="6"/>
      <c r="F52" s="6"/>
      <c r="G52" s="6"/>
      <c r="H52" s="6"/>
    </row>
    <row r="53" spans="1:8">
      <c r="A53" s="6"/>
      <c r="B53" s="6"/>
      <c r="C53" s="6"/>
      <c r="D53" s="6"/>
      <c r="E53" s="6"/>
      <c r="F53" s="6"/>
      <c r="G53" s="6"/>
      <c r="H53" s="6"/>
    </row>
    <row r="54" spans="1:8">
      <c r="A54" s="6"/>
      <c r="B54" s="6"/>
      <c r="C54" s="6"/>
      <c r="D54" s="6"/>
      <c r="E54" s="6"/>
      <c r="F54" s="6"/>
      <c r="G54" s="6"/>
      <c r="H54" s="6"/>
    </row>
    <row r="55" spans="1:8">
      <c r="A55" s="6"/>
      <c r="B55" s="6"/>
      <c r="C55" s="6"/>
      <c r="D55" s="6"/>
      <c r="E55" s="6"/>
      <c r="F55" s="6"/>
      <c r="G55" s="6"/>
      <c r="H55" s="6"/>
    </row>
    <row r="56" spans="1:8">
      <c r="A56" s="6"/>
      <c r="B56" s="6"/>
      <c r="C56" s="6"/>
      <c r="D56" s="6"/>
      <c r="E56" s="6"/>
      <c r="F56" s="6"/>
      <c r="G56" s="6"/>
      <c r="H56" s="6"/>
    </row>
    <row r="57" spans="1:8">
      <c r="A57" s="6"/>
      <c r="B57" s="6"/>
      <c r="C57" s="6"/>
      <c r="D57" s="6"/>
      <c r="E57" s="6"/>
      <c r="F57" s="6"/>
      <c r="G57" s="6"/>
      <c r="H57" s="6"/>
    </row>
    <row r="58" spans="1:8">
      <c r="A58" s="6"/>
      <c r="B58" s="6"/>
      <c r="C58" s="6"/>
      <c r="D58" s="6"/>
      <c r="E58" s="6"/>
      <c r="F58" s="6"/>
      <c r="G58" s="6"/>
      <c r="H58" s="6"/>
    </row>
    <row r="59" spans="1:8">
      <c r="A59" s="6"/>
      <c r="B59" s="6"/>
      <c r="C59" s="6"/>
      <c r="D59" s="6"/>
      <c r="E59" s="6"/>
      <c r="F59" s="6"/>
      <c r="G59" s="6"/>
      <c r="H59" s="6"/>
    </row>
    <row r="60" spans="1:8">
      <c r="A60" s="6"/>
      <c r="B60" s="6"/>
      <c r="C60" s="6"/>
      <c r="D60" s="6"/>
      <c r="E60" s="6"/>
      <c r="F60" s="6"/>
      <c r="G60" s="6"/>
      <c r="H60" s="6"/>
    </row>
    <row r="61" spans="1:8">
      <c r="A61" s="6"/>
      <c r="B61" s="6"/>
      <c r="C61" s="6"/>
      <c r="D61" s="6"/>
      <c r="E61" s="6"/>
      <c r="F61" s="6"/>
      <c r="G61" s="6"/>
      <c r="H61" s="6"/>
    </row>
    <row r="62" spans="1:8">
      <c r="A62" s="6"/>
      <c r="B62" s="6"/>
      <c r="C62" s="6"/>
      <c r="D62" s="6"/>
      <c r="E62" s="6"/>
      <c r="F62" s="6"/>
      <c r="G62" s="6"/>
      <c r="H62" s="6"/>
    </row>
    <row r="63" spans="1:8">
      <c r="A63" s="6"/>
      <c r="B63" s="6"/>
      <c r="C63" s="6"/>
      <c r="D63" s="6"/>
      <c r="E63" s="6"/>
      <c r="F63" s="6"/>
      <c r="G63" s="6"/>
      <c r="H63" s="6"/>
    </row>
    <row r="64" spans="1:8">
      <c r="A64" s="6"/>
      <c r="B64" s="6"/>
      <c r="C64" s="6"/>
      <c r="D64" s="6"/>
      <c r="E64" s="6"/>
      <c r="F64" s="6"/>
      <c r="G64" s="6"/>
      <c r="H64" s="6"/>
    </row>
    <row r="65" spans="1:8">
      <c r="A65" s="6"/>
      <c r="B65" s="6"/>
      <c r="C65" s="6"/>
      <c r="D65" s="6"/>
      <c r="E65" s="6"/>
      <c r="F65" s="6"/>
      <c r="G65" s="6"/>
      <c r="H65" s="6"/>
    </row>
    <row r="66" spans="1:8">
      <c r="A66" s="6"/>
      <c r="B66" s="6"/>
      <c r="C66" s="6"/>
      <c r="D66" s="6"/>
      <c r="E66" s="6"/>
      <c r="F66" s="6"/>
      <c r="G66" s="6"/>
      <c r="H66" s="6"/>
    </row>
    <row r="67" spans="1:8">
      <c r="A67" s="6"/>
      <c r="B67" s="6"/>
      <c r="C67" s="6"/>
      <c r="D67" s="6"/>
      <c r="E67" s="6"/>
      <c r="F67" s="6"/>
      <c r="G67" s="6"/>
      <c r="H67" s="6"/>
    </row>
    <row r="68" spans="1:8">
      <c r="A68" s="6"/>
      <c r="B68" s="6"/>
      <c r="C68" s="6"/>
      <c r="D68" s="6"/>
      <c r="E68" s="6"/>
      <c r="F68" s="6"/>
      <c r="G68" s="6"/>
      <c r="H68" s="6"/>
    </row>
    <row r="69" spans="1:8">
      <c r="A69" s="6"/>
      <c r="B69" s="6"/>
      <c r="C69" s="6"/>
      <c r="D69" s="6"/>
      <c r="E69" s="6"/>
      <c r="F69" s="6"/>
      <c r="G69" s="6"/>
      <c r="H69" s="6"/>
    </row>
    <row r="70" spans="1:8">
      <c r="A70" s="6"/>
      <c r="B70" s="6"/>
      <c r="C70" s="6"/>
      <c r="D70" s="6"/>
      <c r="E70" s="6"/>
      <c r="F70" s="6"/>
      <c r="G70" s="6"/>
      <c r="H70" s="6"/>
    </row>
    <row r="71" spans="1:8">
      <c r="A71" s="6"/>
      <c r="B71" s="6"/>
      <c r="C71" s="6"/>
      <c r="D71" s="6"/>
      <c r="E71" s="6"/>
      <c r="F71" s="6"/>
      <c r="G71" s="6"/>
      <c r="H71" s="6"/>
    </row>
    <row r="72" spans="1:8">
      <c r="A72" s="6"/>
      <c r="B72" s="6"/>
      <c r="C72" s="6"/>
      <c r="D72" s="6"/>
      <c r="E72" s="6"/>
      <c r="F72" s="6"/>
      <c r="G72" s="6"/>
      <c r="H72" s="6"/>
    </row>
    <row r="73" spans="1:8">
      <c r="A73" s="6"/>
      <c r="B73" s="6"/>
      <c r="C73" s="6"/>
      <c r="D73" s="6"/>
      <c r="E73" s="6"/>
      <c r="F73" s="6"/>
      <c r="G73" s="6"/>
      <c r="H73" s="6"/>
    </row>
    <row r="74" spans="1:8">
      <c r="A74" s="6"/>
      <c r="B74" s="6"/>
      <c r="C74" s="6"/>
      <c r="D74" s="6"/>
      <c r="E74" s="6"/>
      <c r="F74" s="6"/>
      <c r="G74" s="6"/>
      <c r="H74" s="6"/>
    </row>
    <row r="75" spans="1:8">
      <c r="A75" s="6"/>
      <c r="B75" s="6"/>
      <c r="C75" s="6"/>
      <c r="D75" s="6"/>
      <c r="E75" s="6"/>
      <c r="F75" s="6"/>
      <c r="G75" s="6"/>
      <c r="H75" s="6"/>
    </row>
    <row r="76" spans="1:8">
      <c r="A76" s="6"/>
      <c r="B76" s="6"/>
      <c r="C76" s="6"/>
      <c r="D76" s="6"/>
      <c r="E76" s="6"/>
      <c r="F76" s="6"/>
      <c r="G76" s="6"/>
      <c r="H76" s="6"/>
    </row>
    <row r="77" spans="1:8">
      <c r="A77" s="6"/>
      <c r="B77" s="6"/>
      <c r="C77" s="6"/>
      <c r="D77" s="6"/>
      <c r="E77" s="6"/>
      <c r="F77" s="6"/>
      <c r="G77" s="6"/>
      <c r="H77" s="6"/>
    </row>
    <row r="78" spans="1:8">
      <c r="A78" s="6"/>
      <c r="B78" s="6"/>
      <c r="C78" s="6"/>
      <c r="D78" s="6"/>
      <c r="E78" s="6"/>
      <c r="F78" s="6"/>
      <c r="G78" s="6"/>
      <c r="H78" s="6"/>
    </row>
    <row r="79" spans="1:8">
      <c r="A79" s="6"/>
      <c r="B79" s="6"/>
      <c r="C79" s="6"/>
      <c r="D79" s="6"/>
      <c r="E79" s="6"/>
      <c r="F79" s="6"/>
      <c r="G79" s="6"/>
      <c r="H79" s="6"/>
    </row>
    <row r="80" spans="1:8">
      <c r="A80" s="6"/>
      <c r="B80" s="6"/>
      <c r="C80" s="6"/>
      <c r="D80" s="6"/>
      <c r="E80" s="6"/>
      <c r="F80" s="6"/>
      <c r="G80" s="6"/>
      <c r="H80" s="6"/>
    </row>
    <row r="81" spans="1:8">
      <c r="A81" s="6"/>
      <c r="B81" s="6"/>
      <c r="C81" s="6"/>
      <c r="D81" s="6"/>
      <c r="E81" s="6"/>
      <c r="F81" s="6"/>
      <c r="G81" s="6"/>
      <c r="H81" s="6"/>
    </row>
    <row r="82" spans="1:8">
      <c r="A82" s="6"/>
      <c r="B82" s="6"/>
      <c r="C82" s="6"/>
      <c r="D82" s="6"/>
      <c r="E82" s="6"/>
      <c r="F82" s="6"/>
      <c r="G82" s="6"/>
      <c r="H82" s="6"/>
    </row>
    <row r="83" spans="1:8">
      <c r="A83" s="6"/>
      <c r="B83" s="6"/>
      <c r="C83" s="6"/>
      <c r="D83" s="6"/>
      <c r="E83" s="6"/>
      <c r="F83" s="6"/>
      <c r="G83" s="6"/>
      <c r="H83" s="6"/>
    </row>
    <row r="84" spans="1:8">
      <c r="A84" s="6"/>
      <c r="B84" s="6"/>
      <c r="C84" s="6"/>
      <c r="D84" s="6"/>
      <c r="E84" s="6"/>
      <c r="F84" s="6"/>
      <c r="G84" s="6"/>
      <c r="H84" s="6"/>
    </row>
    <row r="85" spans="1:8">
      <c r="A85" s="6"/>
      <c r="B85" s="6"/>
      <c r="C85" s="6"/>
      <c r="D85" s="6"/>
      <c r="E85" s="6"/>
      <c r="F85" s="6"/>
      <c r="G85" s="6"/>
      <c r="H85" s="6"/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6"/>
      <c r="B87" s="6"/>
      <c r="C87" s="6"/>
      <c r="D87" s="6"/>
      <c r="E87" s="6"/>
      <c r="F87" s="6"/>
      <c r="G87" s="6"/>
      <c r="H87" s="6"/>
    </row>
    <row r="88" spans="1:8">
      <c r="A88" s="6"/>
      <c r="B88" s="6"/>
      <c r="C88" s="6"/>
      <c r="D88" s="6"/>
      <c r="E88" s="6"/>
      <c r="F88" s="6"/>
      <c r="G88" s="6"/>
      <c r="H88" s="6"/>
    </row>
    <row r="89" spans="1:8">
      <c r="A89" s="6"/>
      <c r="B89" s="6"/>
      <c r="C89" s="6"/>
      <c r="D89" s="6"/>
      <c r="E89" s="6"/>
      <c r="F89" s="6"/>
      <c r="G89" s="6"/>
      <c r="H89" s="6"/>
    </row>
    <row r="90" spans="1:8">
      <c r="A90" s="6"/>
      <c r="B90" s="6"/>
      <c r="C90" s="6"/>
      <c r="D90" s="6"/>
      <c r="E90" s="6"/>
      <c r="F90" s="6"/>
      <c r="G90" s="6"/>
      <c r="H90" s="6"/>
    </row>
    <row r="91" spans="1:8">
      <c r="A91" s="6"/>
      <c r="B91" s="6"/>
      <c r="C91" s="6"/>
      <c r="D91" s="6"/>
      <c r="E91" s="6"/>
      <c r="F91" s="6"/>
      <c r="G91" s="6"/>
      <c r="H91" s="6"/>
    </row>
    <row r="92" spans="1:8">
      <c r="A92" s="6"/>
      <c r="B92" s="6"/>
      <c r="C92" s="6"/>
      <c r="D92" s="6"/>
      <c r="E92" s="6"/>
      <c r="F92" s="6"/>
      <c r="G92" s="6"/>
      <c r="H92" s="6"/>
    </row>
    <row r="93" spans="1:8">
      <c r="A93" s="6"/>
      <c r="B93" s="6"/>
      <c r="C93" s="6"/>
      <c r="D93" s="6"/>
      <c r="E93" s="6"/>
      <c r="F93" s="6"/>
      <c r="G93" s="6"/>
      <c r="H93" s="6"/>
    </row>
    <row r="94" spans="1:8">
      <c r="A94" s="6"/>
      <c r="B94" s="6"/>
      <c r="C94" s="6"/>
      <c r="D94" s="6"/>
      <c r="E94" s="6"/>
      <c r="F94" s="6"/>
      <c r="G94" s="6"/>
      <c r="H94" s="6"/>
    </row>
    <row r="95" spans="1:8">
      <c r="A95" s="6"/>
      <c r="B95" s="6"/>
      <c r="C95" s="6"/>
      <c r="D95" s="6"/>
      <c r="E95" s="6"/>
      <c r="F95" s="6"/>
      <c r="G95" s="6"/>
      <c r="H95" s="6"/>
    </row>
    <row r="96" spans="1:8">
      <c r="A96" s="6"/>
      <c r="B96" s="6"/>
      <c r="C96" s="6"/>
      <c r="D96" s="6"/>
      <c r="E96" s="6"/>
      <c r="F96" s="6"/>
      <c r="G96" s="6"/>
      <c r="H96" s="6"/>
    </row>
    <row r="97" spans="1:8">
      <c r="A97" s="6"/>
      <c r="B97" s="6"/>
      <c r="C97" s="6"/>
      <c r="D97" s="6"/>
      <c r="E97" s="6"/>
      <c r="F97" s="6"/>
      <c r="G97" s="6"/>
      <c r="H97" s="6"/>
    </row>
    <row r="98" spans="1:8">
      <c r="A98" s="6"/>
      <c r="B98" s="6"/>
      <c r="C98" s="6"/>
      <c r="D98" s="6"/>
      <c r="E98" s="6"/>
      <c r="F98" s="6"/>
      <c r="G98" s="6"/>
      <c r="H98" s="6"/>
    </row>
    <row r="99" spans="1:8">
      <c r="A99" s="6"/>
      <c r="B99" s="6"/>
      <c r="C99" s="6"/>
      <c r="D99" s="6"/>
      <c r="E99" s="6"/>
      <c r="F99" s="6"/>
      <c r="G99" s="6"/>
      <c r="H99" s="6"/>
    </row>
    <row r="100" spans="1:8">
      <c r="A100" s="6"/>
      <c r="B100" s="6"/>
      <c r="C100" s="6"/>
      <c r="D100" s="6"/>
      <c r="E100" s="6"/>
      <c r="F100" s="6"/>
      <c r="G100" s="6"/>
      <c r="H100" s="6"/>
    </row>
    <row r="101" spans="1:8">
      <c r="A101" s="6"/>
      <c r="B101" s="6"/>
      <c r="C101" s="6"/>
      <c r="D101" s="6"/>
      <c r="E101" s="6"/>
      <c r="F101" s="6"/>
      <c r="G101" s="6"/>
      <c r="H101" s="6"/>
    </row>
    <row r="102" spans="1:8">
      <c r="A102" s="6"/>
      <c r="B102" s="6"/>
      <c r="C102" s="6"/>
      <c r="D102" s="6"/>
      <c r="E102" s="6"/>
      <c r="F102" s="6"/>
      <c r="G102" s="6"/>
      <c r="H102" s="6"/>
    </row>
    <row r="103" spans="1:8">
      <c r="A103" s="6"/>
      <c r="B103" s="6"/>
      <c r="C103" s="6"/>
      <c r="D103" s="6"/>
      <c r="E103" s="6"/>
      <c r="F103" s="6"/>
      <c r="G103" s="6"/>
      <c r="H103" s="6"/>
    </row>
    <row r="104" spans="1:8">
      <c r="A104" s="6"/>
      <c r="B104" s="6"/>
      <c r="C104" s="6"/>
      <c r="D104" s="6"/>
      <c r="E104" s="6"/>
      <c r="F104" s="6"/>
      <c r="G104" s="6"/>
      <c r="H104" s="6"/>
    </row>
    <row r="105" spans="1:8">
      <c r="A105" s="6"/>
      <c r="B105" s="6"/>
      <c r="C105" s="6"/>
      <c r="D105" s="6"/>
      <c r="E105" s="6"/>
      <c r="F105" s="6"/>
      <c r="G105" s="6"/>
      <c r="H105" s="6"/>
    </row>
  </sheetData>
  <mergeCells count="3">
    <mergeCell ref="A1:H1"/>
    <mergeCell ref="A2:H2"/>
    <mergeCell ref="A3:H3"/>
  </mergeCells>
  <conditionalFormatting sqref="G6:G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7">
    <dataValidation type="textLength" operator="lessThanOrEqual" allowBlank="1" showInputMessage="1" showErrorMessage="1" errorTitle="内容过长" error="最多100个字符。" sqref="A6:A105">
      <formula1>100</formula1>
    </dataValidation>
    <dataValidation type="textLength" operator="lessThanOrEqual" allowBlank="1" showInputMessage="1" showErrorMessage="1" errorTitle="内容过长" error="最多200个字符。" sqref="C6:C105">
      <formula1>200</formula1>
    </dataValidation>
    <dataValidation type="textLength" operator="lessThanOrEqual" allowBlank="1" showInputMessage="1" showErrorMessage="1" errorTitle="内容过长" error="最多80个字符。" sqref="D6:D105">
      <formula1>80</formula1>
    </dataValidation>
    <dataValidation type="textLength" operator="lessThanOrEqual" allowBlank="1" showInputMessage="1" showErrorMessage="1" errorTitle="内容过长" error="最多32个字符。" sqref="E6:E105">
      <formula1>32</formula1>
    </dataValidation>
    <dataValidation type="textLength" operator="lessThanOrEqual" allowBlank="1" showInputMessage="1" showErrorMessage="1" errorTitle="内容过长" error="最多16个字符。" sqref="B6:B105">
      <formula1>16</formula1>
    </dataValidation>
    <dataValidation type="list" allowBlank="1" showInputMessage="1" showErrorMessage="1" errorTitle="请选择下拉项" error="请从下拉列表选择，不要自行修改选项文字。" sqref="F6:F105">
      <formula1>yes_no</formula1>
    </dataValidation>
    <dataValidation type="list" allowBlank="1" showInputMessage="1" showErrorMessage="1" errorTitle="请选择下拉项" error="请从下拉列表选择，不要自行修改选项文字。" sqref="G6:G105">
      <formula1>maint_status</formula1>
    </dataValidation>
  </dataValidations>
  <hyperlinks>
    <hyperlink ref="A4" r:id="rId1"/>
  </hyperlinks>
  <pageMargins left="0.3" right="0.3" top="0.4" bottom="0.4" header="0.3" footer="0.3"/>
  <pageSetup paperSize="9" fitToHeight="0" orientation="landscape"/>
  <headerFooter>
    <oddFooter>&amp;L棚户记账 · 基础数据维护1.2.2&amp;R第 &amp;P 页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H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6.7109375" style="6" customWidth="1"/>
    <col min="2" max="2" width="15.7109375" style="6" customWidth="1"/>
    <col min="3" max="3" width="32.7109375" style="6" customWidth="1"/>
    <col min="4" max="4" width="18.7109375" style="6" customWidth="1"/>
    <col min="5" max="5" width="23.7109375" style="6" customWidth="1"/>
    <col min="6" max="6" width="11.7109375" style="6" customWidth="1"/>
    <col min="7" max="7" width="17.7109375" style="6" customWidth="1"/>
    <col min="8" max="8" width="45.7109375" style="6" customWidth="1"/>
  </cols>
  <sheetData>
    <row r="1" spans="1:8" ht="36" customHeight="1">
      <c r="A1" s="1" t="s">
        <v>199</v>
      </c>
      <c r="B1" s="1"/>
      <c r="C1" s="1"/>
      <c r="D1" s="1"/>
      <c r="E1" s="1"/>
      <c r="F1" s="1"/>
      <c r="G1" s="1"/>
      <c r="H1" s="1"/>
    </row>
    <row r="2" spans="1:8" ht="42" customHeight="1">
      <c r="A2" s="2" t="s">
        <v>200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201</v>
      </c>
      <c r="B3" s="2"/>
      <c r="C3" s="2"/>
      <c r="D3" s="2"/>
      <c r="E3" s="2"/>
      <c r="F3" s="2"/>
      <c r="G3" s="2"/>
      <c r="H3" s="2"/>
    </row>
    <row r="4" spans="1:8">
      <c r="A4" s="5" t="s">
        <v>172</v>
      </c>
    </row>
    <row r="5" spans="1:8" ht="44" customHeight="1">
      <c r="A5" s="3" t="s">
        <v>189</v>
      </c>
      <c r="B5" s="3" t="s">
        <v>197</v>
      </c>
      <c r="C5" s="3" t="s">
        <v>198</v>
      </c>
      <c r="D5" s="3" t="s">
        <v>190</v>
      </c>
      <c r="E5" s="3" t="s">
        <v>191</v>
      </c>
      <c r="F5" s="3" t="s">
        <v>181</v>
      </c>
      <c r="G5" s="3" t="s">
        <v>184</v>
      </c>
      <c r="H5" s="3" t="s">
        <v>88</v>
      </c>
    </row>
    <row r="6" spans="1:8">
      <c r="A6" s="6"/>
      <c r="B6" s="6"/>
      <c r="C6" s="6"/>
      <c r="D6" s="6"/>
      <c r="E6" s="6"/>
      <c r="F6" s="6"/>
      <c r="G6" s="6"/>
      <c r="H6" s="6"/>
    </row>
    <row r="7" spans="1:8">
      <c r="A7" s="6"/>
      <c r="B7" s="6"/>
      <c r="C7" s="6"/>
      <c r="D7" s="6"/>
      <c r="E7" s="6"/>
      <c r="F7" s="6"/>
      <c r="G7" s="6"/>
      <c r="H7" s="6"/>
    </row>
    <row r="8" spans="1:8">
      <c r="A8" s="6"/>
      <c r="B8" s="6"/>
      <c r="C8" s="6"/>
      <c r="D8" s="6"/>
      <c r="E8" s="6"/>
      <c r="F8" s="6"/>
      <c r="G8" s="6"/>
      <c r="H8" s="6"/>
    </row>
    <row r="9" spans="1:8">
      <c r="A9" s="6"/>
      <c r="B9" s="6"/>
      <c r="C9" s="6"/>
      <c r="D9" s="6"/>
      <c r="E9" s="6"/>
      <c r="F9" s="6"/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6"/>
      <c r="B11" s="6"/>
      <c r="C11" s="6"/>
      <c r="D11" s="6"/>
      <c r="E11" s="6"/>
      <c r="F11" s="6"/>
      <c r="G11" s="6"/>
      <c r="H11" s="6"/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>
      <c r="A13" s="6"/>
      <c r="B13" s="6"/>
      <c r="C13" s="6"/>
      <c r="D13" s="6"/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spans="1:8">
      <c r="A17" s="6"/>
      <c r="B17" s="6"/>
      <c r="C17" s="6"/>
      <c r="D17" s="6"/>
      <c r="E17" s="6"/>
      <c r="F17" s="6"/>
      <c r="G17" s="6"/>
      <c r="H17" s="6"/>
    </row>
    <row r="18" spans="1:8">
      <c r="A18" s="6"/>
      <c r="B18" s="6"/>
      <c r="C18" s="6"/>
      <c r="D18" s="6"/>
      <c r="E18" s="6"/>
      <c r="F18" s="6"/>
      <c r="G18" s="6"/>
      <c r="H18" s="6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6"/>
      <c r="B21" s="6"/>
      <c r="C21" s="6"/>
      <c r="D21" s="6"/>
      <c r="E21" s="6"/>
      <c r="F21" s="6"/>
      <c r="G21" s="6"/>
      <c r="H21" s="6"/>
    </row>
    <row r="22" spans="1:8">
      <c r="A22" s="6"/>
      <c r="B22" s="6"/>
      <c r="C22" s="6"/>
      <c r="D22" s="6"/>
      <c r="E22" s="6"/>
      <c r="F22" s="6"/>
      <c r="G22" s="6"/>
      <c r="H22" s="6"/>
    </row>
    <row r="23" spans="1:8">
      <c r="A23" s="6"/>
      <c r="B23" s="6"/>
      <c r="C23" s="6"/>
      <c r="D23" s="6"/>
      <c r="E23" s="6"/>
      <c r="F23" s="6"/>
      <c r="G23" s="6"/>
      <c r="H23" s="6"/>
    </row>
    <row r="24" spans="1:8">
      <c r="A24" s="6"/>
      <c r="B24" s="6"/>
      <c r="C24" s="6"/>
      <c r="D24" s="6"/>
      <c r="E24" s="6"/>
      <c r="F24" s="6"/>
      <c r="G24" s="6"/>
      <c r="H24" s="6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6"/>
      <c r="B28" s="6"/>
      <c r="C28" s="6"/>
      <c r="D28" s="6"/>
      <c r="E28" s="6"/>
      <c r="F28" s="6"/>
      <c r="G28" s="6"/>
      <c r="H28" s="6"/>
    </row>
    <row r="29" spans="1:8">
      <c r="A29" s="6"/>
      <c r="B29" s="6"/>
      <c r="C29" s="6"/>
      <c r="D29" s="6"/>
      <c r="E29" s="6"/>
      <c r="F29" s="6"/>
      <c r="G29" s="6"/>
      <c r="H29" s="6"/>
    </row>
    <row r="30" spans="1:8">
      <c r="A30" s="6"/>
      <c r="B30" s="6"/>
      <c r="C30" s="6"/>
      <c r="D30" s="6"/>
      <c r="E30" s="6"/>
      <c r="F30" s="6"/>
      <c r="G30" s="6"/>
      <c r="H30" s="6"/>
    </row>
    <row r="31" spans="1:8">
      <c r="A31" s="6"/>
      <c r="B31" s="6"/>
      <c r="C31" s="6"/>
      <c r="D31" s="6"/>
      <c r="E31" s="6"/>
      <c r="F31" s="6"/>
      <c r="G31" s="6"/>
      <c r="H31" s="6"/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>
      <c r="A33" s="6"/>
      <c r="B33" s="6"/>
      <c r="C33" s="6"/>
      <c r="D33" s="6"/>
      <c r="E33" s="6"/>
      <c r="F33" s="6"/>
      <c r="G33" s="6"/>
      <c r="H33" s="6"/>
    </row>
    <row r="34" spans="1:8">
      <c r="A34" s="6"/>
      <c r="B34" s="6"/>
      <c r="C34" s="6"/>
      <c r="D34" s="6"/>
      <c r="E34" s="6"/>
      <c r="F34" s="6"/>
      <c r="G34" s="6"/>
      <c r="H34" s="6"/>
    </row>
    <row r="35" spans="1:8">
      <c r="A35" s="6"/>
      <c r="B35" s="6"/>
      <c r="C35" s="6"/>
      <c r="D35" s="6"/>
      <c r="E35" s="6"/>
      <c r="F35" s="6"/>
      <c r="G35" s="6"/>
      <c r="H35" s="6"/>
    </row>
    <row r="36" spans="1:8">
      <c r="A36" s="6"/>
      <c r="B36" s="6"/>
      <c r="C36" s="6"/>
      <c r="D36" s="6"/>
      <c r="E36" s="6"/>
      <c r="F36" s="6"/>
      <c r="G36" s="6"/>
      <c r="H36" s="6"/>
    </row>
    <row r="37" spans="1:8">
      <c r="A37" s="6"/>
      <c r="B37" s="6"/>
      <c r="C37" s="6"/>
      <c r="D37" s="6"/>
      <c r="E37" s="6"/>
      <c r="F37" s="6"/>
      <c r="G37" s="6"/>
      <c r="H37" s="6"/>
    </row>
    <row r="38" spans="1:8">
      <c r="A38" s="6"/>
      <c r="B38" s="6"/>
      <c r="C38" s="6"/>
      <c r="D38" s="6"/>
      <c r="E38" s="6"/>
      <c r="F38" s="6"/>
      <c r="G38" s="6"/>
      <c r="H38" s="6"/>
    </row>
    <row r="39" spans="1:8">
      <c r="A39" s="6"/>
      <c r="B39" s="6"/>
      <c r="C39" s="6"/>
      <c r="D39" s="6"/>
      <c r="E39" s="6"/>
      <c r="F39" s="6"/>
      <c r="G39" s="6"/>
      <c r="H39" s="6"/>
    </row>
    <row r="40" spans="1:8">
      <c r="A40" s="6"/>
      <c r="B40" s="6"/>
      <c r="C40" s="6"/>
      <c r="D40" s="6"/>
      <c r="E40" s="6"/>
      <c r="F40" s="6"/>
      <c r="G40" s="6"/>
      <c r="H40" s="6"/>
    </row>
    <row r="41" spans="1:8">
      <c r="A41" s="6"/>
      <c r="B41" s="6"/>
      <c r="C41" s="6"/>
      <c r="D41" s="6"/>
      <c r="E41" s="6"/>
      <c r="F41" s="6"/>
      <c r="G41" s="6"/>
      <c r="H41" s="6"/>
    </row>
    <row r="42" spans="1:8">
      <c r="A42" s="6"/>
      <c r="B42" s="6"/>
      <c r="C42" s="6"/>
      <c r="D42" s="6"/>
      <c r="E42" s="6"/>
      <c r="F42" s="6"/>
      <c r="G42" s="6"/>
      <c r="H42" s="6"/>
    </row>
    <row r="43" spans="1:8">
      <c r="A43" s="6"/>
      <c r="B43" s="6"/>
      <c r="C43" s="6"/>
      <c r="D43" s="6"/>
      <c r="E43" s="6"/>
      <c r="F43" s="6"/>
      <c r="G43" s="6"/>
      <c r="H43" s="6"/>
    </row>
    <row r="44" spans="1:8">
      <c r="A44" s="6"/>
      <c r="B44" s="6"/>
      <c r="C44" s="6"/>
      <c r="D44" s="6"/>
      <c r="E44" s="6"/>
      <c r="F44" s="6"/>
      <c r="G44" s="6"/>
      <c r="H44" s="6"/>
    </row>
    <row r="45" spans="1:8">
      <c r="A45" s="6"/>
      <c r="B45" s="6"/>
      <c r="C45" s="6"/>
      <c r="D45" s="6"/>
      <c r="E45" s="6"/>
      <c r="F45" s="6"/>
      <c r="G45" s="6"/>
      <c r="H45" s="6"/>
    </row>
    <row r="46" spans="1:8">
      <c r="A46" s="6"/>
      <c r="B46" s="6"/>
      <c r="C46" s="6"/>
      <c r="D46" s="6"/>
      <c r="E46" s="6"/>
      <c r="F46" s="6"/>
      <c r="G46" s="6"/>
      <c r="H46" s="6"/>
    </row>
    <row r="47" spans="1:8">
      <c r="A47" s="6"/>
      <c r="B47" s="6"/>
      <c r="C47" s="6"/>
      <c r="D47" s="6"/>
      <c r="E47" s="6"/>
      <c r="F47" s="6"/>
      <c r="G47" s="6"/>
      <c r="H47" s="6"/>
    </row>
    <row r="48" spans="1:8">
      <c r="A48" s="6"/>
      <c r="B48" s="6"/>
      <c r="C48" s="6"/>
      <c r="D48" s="6"/>
      <c r="E48" s="6"/>
      <c r="F48" s="6"/>
      <c r="G48" s="6"/>
      <c r="H48" s="6"/>
    </row>
    <row r="49" spans="1:8">
      <c r="A49" s="6"/>
      <c r="B49" s="6"/>
      <c r="C49" s="6"/>
      <c r="D49" s="6"/>
      <c r="E49" s="6"/>
      <c r="F49" s="6"/>
      <c r="G49" s="6"/>
      <c r="H49" s="6"/>
    </row>
    <row r="50" spans="1:8">
      <c r="A50" s="6"/>
      <c r="B50" s="6"/>
      <c r="C50" s="6"/>
      <c r="D50" s="6"/>
      <c r="E50" s="6"/>
      <c r="F50" s="6"/>
      <c r="G50" s="6"/>
      <c r="H50" s="6"/>
    </row>
    <row r="51" spans="1:8">
      <c r="A51" s="6"/>
      <c r="B51" s="6"/>
      <c r="C51" s="6"/>
      <c r="D51" s="6"/>
      <c r="E51" s="6"/>
      <c r="F51" s="6"/>
      <c r="G51" s="6"/>
      <c r="H51" s="6"/>
    </row>
    <row r="52" spans="1:8">
      <c r="A52" s="6"/>
      <c r="B52" s="6"/>
      <c r="C52" s="6"/>
      <c r="D52" s="6"/>
      <c r="E52" s="6"/>
      <c r="F52" s="6"/>
      <c r="G52" s="6"/>
      <c r="H52" s="6"/>
    </row>
    <row r="53" spans="1:8">
      <c r="A53" s="6"/>
      <c r="B53" s="6"/>
      <c r="C53" s="6"/>
      <c r="D53" s="6"/>
      <c r="E53" s="6"/>
      <c r="F53" s="6"/>
      <c r="G53" s="6"/>
      <c r="H53" s="6"/>
    </row>
    <row r="54" spans="1:8">
      <c r="A54" s="6"/>
      <c r="B54" s="6"/>
      <c r="C54" s="6"/>
      <c r="D54" s="6"/>
      <c r="E54" s="6"/>
      <c r="F54" s="6"/>
      <c r="G54" s="6"/>
      <c r="H54" s="6"/>
    </row>
    <row r="55" spans="1:8">
      <c r="A55" s="6"/>
      <c r="B55" s="6"/>
      <c r="C55" s="6"/>
      <c r="D55" s="6"/>
      <c r="E55" s="6"/>
      <c r="F55" s="6"/>
      <c r="G55" s="6"/>
      <c r="H55" s="6"/>
    </row>
    <row r="56" spans="1:8">
      <c r="A56" s="6"/>
      <c r="B56" s="6"/>
      <c r="C56" s="6"/>
      <c r="D56" s="6"/>
      <c r="E56" s="6"/>
      <c r="F56" s="6"/>
      <c r="G56" s="6"/>
      <c r="H56" s="6"/>
    </row>
    <row r="57" spans="1:8">
      <c r="A57" s="6"/>
      <c r="B57" s="6"/>
      <c r="C57" s="6"/>
      <c r="D57" s="6"/>
      <c r="E57" s="6"/>
      <c r="F57" s="6"/>
      <c r="G57" s="6"/>
      <c r="H57" s="6"/>
    </row>
    <row r="58" spans="1:8">
      <c r="A58" s="6"/>
      <c r="B58" s="6"/>
      <c r="C58" s="6"/>
      <c r="D58" s="6"/>
      <c r="E58" s="6"/>
      <c r="F58" s="6"/>
      <c r="G58" s="6"/>
      <c r="H58" s="6"/>
    </row>
    <row r="59" spans="1:8">
      <c r="A59" s="6"/>
      <c r="B59" s="6"/>
      <c r="C59" s="6"/>
      <c r="D59" s="6"/>
      <c r="E59" s="6"/>
      <c r="F59" s="6"/>
      <c r="G59" s="6"/>
      <c r="H59" s="6"/>
    </row>
    <row r="60" spans="1:8">
      <c r="A60" s="6"/>
      <c r="B60" s="6"/>
      <c r="C60" s="6"/>
      <c r="D60" s="6"/>
      <c r="E60" s="6"/>
      <c r="F60" s="6"/>
      <c r="G60" s="6"/>
      <c r="H60" s="6"/>
    </row>
    <row r="61" spans="1:8">
      <c r="A61" s="6"/>
      <c r="B61" s="6"/>
      <c r="C61" s="6"/>
      <c r="D61" s="6"/>
      <c r="E61" s="6"/>
      <c r="F61" s="6"/>
      <c r="G61" s="6"/>
      <c r="H61" s="6"/>
    </row>
    <row r="62" spans="1:8">
      <c r="A62" s="6"/>
      <c r="B62" s="6"/>
      <c r="C62" s="6"/>
      <c r="D62" s="6"/>
      <c r="E62" s="6"/>
      <c r="F62" s="6"/>
      <c r="G62" s="6"/>
      <c r="H62" s="6"/>
    </row>
    <row r="63" spans="1:8">
      <c r="A63" s="6"/>
      <c r="B63" s="6"/>
      <c r="C63" s="6"/>
      <c r="D63" s="6"/>
      <c r="E63" s="6"/>
      <c r="F63" s="6"/>
      <c r="G63" s="6"/>
      <c r="H63" s="6"/>
    </row>
    <row r="64" spans="1:8">
      <c r="A64" s="6"/>
      <c r="B64" s="6"/>
      <c r="C64" s="6"/>
      <c r="D64" s="6"/>
      <c r="E64" s="6"/>
      <c r="F64" s="6"/>
      <c r="G64" s="6"/>
      <c r="H64" s="6"/>
    </row>
    <row r="65" spans="1:8">
      <c r="A65" s="6"/>
      <c r="B65" s="6"/>
      <c r="C65" s="6"/>
      <c r="D65" s="6"/>
      <c r="E65" s="6"/>
      <c r="F65" s="6"/>
      <c r="G65" s="6"/>
      <c r="H65" s="6"/>
    </row>
    <row r="66" spans="1:8">
      <c r="A66" s="6"/>
      <c r="B66" s="6"/>
      <c r="C66" s="6"/>
      <c r="D66" s="6"/>
      <c r="E66" s="6"/>
      <c r="F66" s="6"/>
      <c r="G66" s="6"/>
      <c r="H66" s="6"/>
    </row>
    <row r="67" spans="1:8">
      <c r="A67" s="6"/>
      <c r="B67" s="6"/>
      <c r="C67" s="6"/>
      <c r="D67" s="6"/>
      <c r="E67" s="6"/>
      <c r="F67" s="6"/>
      <c r="G67" s="6"/>
      <c r="H67" s="6"/>
    </row>
    <row r="68" spans="1:8">
      <c r="A68" s="6"/>
      <c r="B68" s="6"/>
      <c r="C68" s="6"/>
      <c r="D68" s="6"/>
      <c r="E68" s="6"/>
      <c r="F68" s="6"/>
      <c r="G68" s="6"/>
      <c r="H68" s="6"/>
    </row>
    <row r="69" spans="1:8">
      <c r="A69" s="6"/>
      <c r="B69" s="6"/>
      <c r="C69" s="6"/>
      <c r="D69" s="6"/>
      <c r="E69" s="6"/>
      <c r="F69" s="6"/>
      <c r="G69" s="6"/>
      <c r="H69" s="6"/>
    </row>
    <row r="70" spans="1:8">
      <c r="A70" s="6"/>
      <c r="B70" s="6"/>
      <c r="C70" s="6"/>
      <c r="D70" s="6"/>
      <c r="E70" s="6"/>
      <c r="F70" s="6"/>
      <c r="G70" s="6"/>
      <c r="H70" s="6"/>
    </row>
    <row r="71" spans="1:8">
      <c r="A71" s="6"/>
      <c r="B71" s="6"/>
      <c r="C71" s="6"/>
      <c r="D71" s="6"/>
      <c r="E71" s="6"/>
      <c r="F71" s="6"/>
      <c r="G71" s="6"/>
      <c r="H71" s="6"/>
    </row>
    <row r="72" spans="1:8">
      <c r="A72" s="6"/>
      <c r="B72" s="6"/>
      <c r="C72" s="6"/>
      <c r="D72" s="6"/>
      <c r="E72" s="6"/>
      <c r="F72" s="6"/>
      <c r="G72" s="6"/>
      <c r="H72" s="6"/>
    </row>
    <row r="73" spans="1:8">
      <c r="A73" s="6"/>
      <c r="B73" s="6"/>
      <c r="C73" s="6"/>
      <c r="D73" s="6"/>
      <c r="E73" s="6"/>
      <c r="F73" s="6"/>
      <c r="G73" s="6"/>
      <c r="H73" s="6"/>
    </row>
    <row r="74" spans="1:8">
      <c r="A74" s="6"/>
      <c r="B74" s="6"/>
      <c r="C74" s="6"/>
      <c r="D74" s="6"/>
      <c r="E74" s="6"/>
      <c r="F74" s="6"/>
      <c r="G74" s="6"/>
      <c r="H74" s="6"/>
    </row>
    <row r="75" spans="1:8">
      <c r="A75" s="6"/>
      <c r="B75" s="6"/>
      <c r="C75" s="6"/>
      <c r="D75" s="6"/>
      <c r="E75" s="6"/>
      <c r="F75" s="6"/>
      <c r="G75" s="6"/>
      <c r="H75" s="6"/>
    </row>
    <row r="76" spans="1:8">
      <c r="A76" s="6"/>
      <c r="B76" s="6"/>
      <c r="C76" s="6"/>
      <c r="D76" s="6"/>
      <c r="E76" s="6"/>
      <c r="F76" s="6"/>
      <c r="G76" s="6"/>
      <c r="H76" s="6"/>
    </row>
    <row r="77" spans="1:8">
      <c r="A77" s="6"/>
      <c r="B77" s="6"/>
      <c r="C77" s="6"/>
      <c r="D77" s="6"/>
      <c r="E77" s="6"/>
      <c r="F77" s="6"/>
      <c r="G77" s="6"/>
      <c r="H77" s="6"/>
    </row>
    <row r="78" spans="1:8">
      <c r="A78" s="6"/>
      <c r="B78" s="6"/>
      <c r="C78" s="6"/>
      <c r="D78" s="6"/>
      <c r="E78" s="6"/>
      <c r="F78" s="6"/>
      <c r="G78" s="6"/>
      <c r="H78" s="6"/>
    </row>
    <row r="79" spans="1:8">
      <c r="A79" s="6"/>
      <c r="B79" s="6"/>
      <c r="C79" s="6"/>
      <c r="D79" s="6"/>
      <c r="E79" s="6"/>
      <c r="F79" s="6"/>
      <c r="G79" s="6"/>
      <c r="H79" s="6"/>
    </row>
    <row r="80" spans="1:8">
      <c r="A80" s="6"/>
      <c r="B80" s="6"/>
      <c r="C80" s="6"/>
      <c r="D80" s="6"/>
      <c r="E80" s="6"/>
      <c r="F80" s="6"/>
      <c r="G80" s="6"/>
      <c r="H80" s="6"/>
    </row>
    <row r="81" spans="1:8">
      <c r="A81" s="6"/>
      <c r="B81" s="6"/>
      <c r="C81" s="6"/>
      <c r="D81" s="6"/>
      <c r="E81" s="6"/>
      <c r="F81" s="6"/>
      <c r="G81" s="6"/>
      <c r="H81" s="6"/>
    </row>
    <row r="82" spans="1:8">
      <c r="A82" s="6"/>
      <c r="B82" s="6"/>
      <c r="C82" s="6"/>
      <c r="D82" s="6"/>
      <c r="E82" s="6"/>
      <c r="F82" s="6"/>
      <c r="G82" s="6"/>
      <c r="H82" s="6"/>
    </row>
    <row r="83" spans="1:8">
      <c r="A83" s="6"/>
      <c r="B83" s="6"/>
      <c r="C83" s="6"/>
      <c r="D83" s="6"/>
      <c r="E83" s="6"/>
      <c r="F83" s="6"/>
      <c r="G83" s="6"/>
      <c r="H83" s="6"/>
    </row>
    <row r="84" spans="1:8">
      <c r="A84" s="6"/>
      <c r="B84" s="6"/>
      <c r="C84" s="6"/>
      <c r="D84" s="6"/>
      <c r="E84" s="6"/>
      <c r="F84" s="6"/>
      <c r="G84" s="6"/>
      <c r="H84" s="6"/>
    </row>
    <row r="85" spans="1:8">
      <c r="A85" s="6"/>
      <c r="B85" s="6"/>
      <c r="C85" s="6"/>
      <c r="D85" s="6"/>
      <c r="E85" s="6"/>
      <c r="F85" s="6"/>
      <c r="G85" s="6"/>
      <c r="H85" s="6"/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6"/>
      <c r="B87" s="6"/>
      <c r="C87" s="6"/>
      <c r="D87" s="6"/>
      <c r="E87" s="6"/>
      <c r="F87" s="6"/>
      <c r="G87" s="6"/>
      <c r="H87" s="6"/>
    </row>
    <row r="88" spans="1:8">
      <c r="A88" s="6"/>
      <c r="B88" s="6"/>
      <c r="C88" s="6"/>
      <c r="D88" s="6"/>
      <c r="E88" s="6"/>
      <c r="F88" s="6"/>
      <c r="G88" s="6"/>
      <c r="H88" s="6"/>
    </row>
    <row r="89" spans="1:8">
      <c r="A89" s="6"/>
      <c r="B89" s="6"/>
      <c r="C89" s="6"/>
      <c r="D89" s="6"/>
      <c r="E89" s="6"/>
      <c r="F89" s="6"/>
      <c r="G89" s="6"/>
      <c r="H89" s="6"/>
    </row>
    <row r="90" spans="1:8">
      <c r="A90" s="6"/>
      <c r="B90" s="6"/>
      <c r="C90" s="6"/>
      <c r="D90" s="6"/>
      <c r="E90" s="6"/>
      <c r="F90" s="6"/>
      <c r="G90" s="6"/>
      <c r="H90" s="6"/>
    </row>
    <row r="91" spans="1:8">
      <c r="A91" s="6"/>
      <c r="B91" s="6"/>
      <c r="C91" s="6"/>
      <c r="D91" s="6"/>
      <c r="E91" s="6"/>
      <c r="F91" s="6"/>
      <c r="G91" s="6"/>
      <c r="H91" s="6"/>
    </row>
    <row r="92" spans="1:8">
      <c r="A92" s="6"/>
      <c r="B92" s="6"/>
      <c r="C92" s="6"/>
      <c r="D92" s="6"/>
      <c r="E92" s="6"/>
      <c r="F92" s="6"/>
      <c r="G92" s="6"/>
      <c r="H92" s="6"/>
    </row>
    <row r="93" spans="1:8">
      <c r="A93" s="6"/>
      <c r="B93" s="6"/>
      <c r="C93" s="6"/>
      <c r="D93" s="6"/>
      <c r="E93" s="6"/>
      <c r="F93" s="6"/>
      <c r="G93" s="6"/>
      <c r="H93" s="6"/>
    </row>
    <row r="94" spans="1:8">
      <c r="A94" s="6"/>
      <c r="B94" s="6"/>
      <c r="C94" s="6"/>
      <c r="D94" s="6"/>
      <c r="E94" s="6"/>
      <c r="F94" s="6"/>
      <c r="G94" s="6"/>
      <c r="H94" s="6"/>
    </row>
    <row r="95" spans="1:8">
      <c r="A95" s="6"/>
      <c r="B95" s="6"/>
      <c r="C95" s="6"/>
      <c r="D95" s="6"/>
      <c r="E95" s="6"/>
      <c r="F95" s="6"/>
      <c r="G95" s="6"/>
      <c r="H95" s="6"/>
    </row>
    <row r="96" spans="1:8">
      <c r="A96" s="6"/>
      <c r="B96" s="6"/>
      <c r="C96" s="6"/>
      <c r="D96" s="6"/>
      <c r="E96" s="6"/>
      <c r="F96" s="6"/>
      <c r="G96" s="6"/>
      <c r="H96" s="6"/>
    </row>
    <row r="97" spans="1:8">
      <c r="A97" s="6"/>
      <c r="B97" s="6"/>
      <c r="C97" s="6"/>
      <c r="D97" s="6"/>
      <c r="E97" s="6"/>
      <c r="F97" s="6"/>
      <c r="G97" s="6"/>
      <c r="H97" s="6"/>
    </row>
    <row r="98" spans="1:8">
      <c r="A98" s="6"/>
      <c r="B98" s="6"/>
      <c r="C98" s="6"/>
      <c r="D98" s="6"/>
      <c r="E98" s="6"/>
      <c r="F98" s="6"/>
      <c r="G98" s="6"/>
      <c r="H98" s="6"/>
    </row>
    <row r="99" spans="1:8">
      <c r="A99" s="6"/>
      <c r="B99" s="6"/>
      <c r="C99" s="6"/>
      <c r="D99" s="6"/>
      <c r="E99" s="6"/>
      <c r="F99" s="6"/>
      <c r="G99" s="6"/>
      <c r="H99" s="6"/>
    </row>
    <row r="100" spans="1:8">
      <c r="A100" s="6"/>
      <c r="B100" s="6"/>
      <c r="C100" s="6"/>
      <c r="D100" s="6"/>
      <c r="E100" s="6"/>
      <c r="F100" s="6"/>
      <c r="G100" s="6"/>
      <c r="H100" s="6"/>
    </row>
    <row r="101" spans="1:8">
      <c r="A101" s="6"/>
      <c r="B101" s="6"/>
      <c r="C101" s="6"/>
      <c r="D101" s="6"/>
      <c r="E101" s="6"/>
      <c r="F101" s="6"/>
      <c r="G101" s="6"/>
      <c r="H101" s="6"/>
    </row>
    <row r="102" spans="1:8">
      <c r="A102" s="6"/>
      <c r="B102" s="6"/>
      <c r="C102" s="6"/>
      <c r="D102" s="6"/>
      <c r="E102" s="6"/>
      <c r="F102" s="6"/>
      <c r="G102" s="6"/>
      <c r="H102" s="6"/>
    </row>
    <row r="103" spans="1:8">
      <c r="A103" s="6"/>
      <c r="B103" s="6"/>
      <c r="C103" s="6"/>
      <c r="D103" s="6"/>
      <c r="E103" s="6"/>
      <c r="F103" s="6"/>
      <c r="G103" s="6"/>
      <c r="H103" s="6"/>
    </row>
    <row r="104" spans="1:8">
      <c r="A104" s="6"/>
      <c r="B104" s="6"/>
      <c r="C104" s="6"/>
      <c r="D104" s="6"/>
      <c r="E104" s="6"/>
      <c r="F104" s="6"/>
      <c r="G104" s="6"/>
      <c r="H104" s="6"/>
    </row>
    <row r="105" spans="1:8">
      <c r="A105" s="6"/>
      <c r="B105" s="6"/>
      <c r="C105" s="6"/>
      <c r="D105" s="6"/>
      <c r="E105" s="6"/>
      <c r="F105" s="6"/>
      <c r="G105" s="6"/>
      <c r="H105" s="6"/>
    </row>
  </sheetData>
  <mergeCells count="3">
    <mergeCell ref="A1:H1"/>
    <mergeCell ref="A2:H2"/>
    <mergeCell ref="A3:H3"/>
  </mergeCells>
  <conditionalFormatting sqref="G6:G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7">
    <dataValidation type="textLength" operator="lessThanOrEqual" allowBlank="1" showInputMessage="1" showErrorMessage="1" errorTitle="内容过长" error="最多100个字符。" sqref="A6:A105">
      <formula1>100</formula1>
    </dataValidation>
    <dataValidation type="textLength" operator="lessThanOrEqual" allowBlank="1" showInputMessage="1" showErrorMessage="1" errorTitle="内容过长" error="最多200个字符。" sqref="C6:C105">
      <formula1>200</formula1>
    </dataValidation>
    <dataValidation type="textLength" operator="lessThanOrEqual" allowBlank="1" showInputMessage="1" showErrorMessage="1" errorTitle="内容过长" error="最多80个字符。" sqref="D6:D105">
      <formula1>80</formula1>
    </dataValidation>
    <dataValidation type="textLength" operator="lessThanOrEqual" allowBlank="1" showInputMessage="1" showErrorMessage="1" errorTitle="内容过长" error="最多32个字符。" sqref="E6:E105">
      <formula1>32</formula1>
    </dataValidation>
    <dataValidation type="list" allowBlank="1" showInputMessage="1" showErrorMessage="1" errorTitle="请选择下拉项" error="请从下拉列表选择，不要自行修改选项文字。" sqref="B6:B105">
      <formula1>veg_units</formula1>
    </dataValidation>
    <dataValidation type="list" allowBlank="1" showInputMessage="1" showErrorMessage="1" errorTitle="请选择下拉项" error="请从下拉列表选择，不要自行修改选项文字。" sqref="F6:F105">
      <formula1>yes_no</formula1>
    </dataValidation>
    <dataValidation type="list" allowBlank="1" showInputMessage="1" showErrorMessage="1" errorTitle="请选择下拉项" error="请从下拉列表选择，不要自行修改选项文字。" sqref="G6:G105">
      <formula1>maint_status</formula1>
    </dataValidation>
  </dataValidations>
  <hyperlinks>
    <hyperlink ref="A4" r:id="rId1"/>
  </hyperlinks>
  <pageMargins left="0.3" right="0.3" top="0.4" bottom="0.4" header="0.3" footer="0.3"/>
  <pageSetup paperSize="9" fitToHeight="0" orientation="landscape"/>
  <headerFooter>
    <oddFooter>&amp;L棚户记账 · 基础数据维护1.2.2&amp;R第 &amp;P 页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F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8.7109375" style="6" customWidth="1"/>
    <col min="2" max="2" width="20.7109375" style="6" customWidth="1"/>
    <col min="3" max="3" width="23.7109375" style="6" customWidth="1"/>
    <col min="4" max="4" width="11.7109375" style="6" customWidth="1"/>
    <col min="5" max="5" width="17.7109375" style="6" customWidth="1"/>
    <col min="6" max="6" width="48.7109375" style="6" customWidth="1"/>
  </cols>
  <sheetData>
    <row r="1" spans="1:6" ht="36" customHeight="1">
      <c r="A1" s="1" t="s">
        <v>192</v>
      </c>
      <c r="B1" s="1"/>
      <c r="C1" s="1"/>
      <c r="D1" s="1"/>
      <c r="E1" s="1"/>
      <c r="F1" s="1"/>
    </row>
    <row r="2" spans="1:6" ht="42" customHeight="1">
      <c r="A2" s="2" t="s">
        <v>193</v>
      </c>
      <c r="B2" s="2"/>
      <c r="C2" s="2"/>
      <c r="D2" s="2"/>
      <c r="E2" s="2"/>
      <c r="F2" s="2"/>
    </row>
    <row r="3" spans="1:6" ht="38" customHeight="1">
      <c r="A3" s="2" t="s">
        <v>188</v>
      </c>
      <c r="B3" s="2"/>
      <c r="C3" s="2"/>
      <c r="D3" s="2"/>
      <c r="E3" s="2"/>
      <c r="F3" s="2"/>
    </row>
    <row r="4" spans="1:6">
      <c r="A4" s="5" t="s">
        <v>172</v>
      </c>
    </row>
    <row r="5" spans="1:6" ht="44" customHeight="1">
      <c r="A5" s="3" t="s">
        <v>189</v>
      </c>
      <c r="B5" s="3" t="s">
        <v>190</v>
      </c>
      <c r="C5" s="3" t="s">
        <v>191</v>
      </c>
      <c r="D5" s="3" t="s">
        <v>181</v>
      </c>
      <c r="E5" s="3" t="s">
        <v>184</v>
      </c>
      <c r="F5" s="3" t="s">
        <v>88</v>
      </c>
    </row>
    <row r="6" spans="1:6">
      <c r="A6" s="6"/>
      <c r="B6" s="6"/>
      <c r="C6" s="6"/>
      <c r="D6" s="6"/>
      <c r="E6" s="6"/>
      <c r="F6" s="6"/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6"/>
      <c r="B25" s="6"/>
      <c r="C25" s="6"/>
      <c r="D25" s="6"/>
      <c r="E25" s="6"/>
      <c r="F25" s="6"/>
    </row>
    <row r="26" spans="1:6">
      <c r="A26" s="6"/>
      <c r="B26" s="6"/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  <row r="36" spans="1:6">
      <c r="A36" s="6"/>
      <c r="B36" s="6"/>
      <c r="C36" s="6"/>
      <c r="D36" s="6"/>
      <c r="E36" s="6"/>
      <c r="F36" s="6"/>
    </row>
    <row r="37" spans="1:6">
      <c r="A37" s="6"/>
      <c r="B37" s="6"/>
      <c r="C37" s="6"/>
      <c r="D37" s="6"/>
      <c r="E37" s="6"/>
      <c r="F37" s="6"/>
    </row>
    <row r="38" spans="1:6">
      <c r="A38" s="6"/>
      <c r="B38" s="6"/>
      <c r="C38" s="6"/>
      <c r="D38" s="6"/>
      <c r="E38" s="6"/>
      <c r="F38" s="6"/>
    </row>
    <row r="39" spans="1:6">
      <c r="A39" s="6"/>
      <c r="B39" s="6"/>
      <c r="C39" s="6"/>
      <c r="D39" s="6"/>
      <c r="E39" s="6"/>
      <c r="F39" s="6"/>
    </row>
    <row r="40" spans="1:6">
      <c r="A40" s="6"/>
      <c r="B40" s="6"/>
      <c r="C40" s="6"/>
      <c r="D40" s="6"/>
      <c r="E40" s="6"/>
      <c r="F40" s="6"/>
    </row>
    <row r="41" spans="1:6">
      <c r="A41" s="6"/>
      <c r="B41" s="6"/>
      <c r="C41" s="6"/>
      <c r="D41" s="6"/>
      <c r="E41" s="6"/>
      <c r="F41" s="6"/>
    </row>
    <row r="42" spans="1:6">
      <c r="A42" s="6"/>
      <c r="B42" s="6"/>
      <c r="C42" s="6"/>
      <c r="D42" s="6"/>
      <c r="E42" s="6"/>
      <c r="F42" s="6"/>
    </row>
    <row r="43" spans="1:6">
      <c r="A43" s="6"/>
      <c r="B43" s="6"/>
      <c r="C43" s="6"/>
      <c r="D43" s="6"/>
      <c r="E43" s="6"/>
      <c r="F43" s="6"/>
    </row>
    <row r="44" spans="1:6">
      <c r="A44" s="6"/>
      <c r="B44" s="6"/>
      <c r="C44" s="6"/>
      <c r="D44" s="6"/>
      <c r="E44" s="6"/>
      <c r="F44" s="6"/>
    </row>
    <row r="45" spans="1:6">
      <c r="A45" s="6"/>
      <c r="B45" s="6"/>
      <c r="C45" s="6"/>
      <c r="D45" s="6"/>
      <c r="E45" s="6"/>
      <c r="F45" s="6"/>
    </row>
    <row r="46" spans="1:6">
      <c r="A46" s="6"/>
      <c r="B46" s="6"/>
      <c r="C46" s="6"/>
      <c r="D46" s="6"/>
      <c r="E46" s="6"/>
      <c r="F46" s="6"/>
    </row>
    <row r="47" spans="1:6">
      <c r="A47" s="6"/>
      <c r="B47" s="6"/>
      <c r="C47" s="6"/>
      <c r="D47" s="6"/>
      <c r="E47" s="6"/>
      <c r="F47" s="6"/>
    </row>
    <row r="48" spans="1:6">
      <c r="A48" s="6"/>
      <c r="B48" s="6"/>
      <c r="C48" s="6"/>
      <c r="D48" s="6"/>
      <c r="E48" s="6"/>
      <c r="F48" s="6"/>
    </row>
    <row r="49" spans="1:6">
      <c r="A49" s="6"/>
      <c r="B49" s="6"/>
      <c r="C49" s="6"/>
      <c r="D49" s="6"/>
      <c r="E49" s="6"/>
      <c r="F49" s="6"/>
    </row>
    <row r="50" spans="1:6">
      <c r="A50" s="6"/>
      <c r="B50" s="6"/>
      <c r="C50" s="6"/>
      <c r="D50" s="6"/>
      <c r="E50" s="6"/>
      <c r="F50" s="6"/>
    </row>
    <row r="51" spans="1:6">
      <c r="A51" s="6"/>
      <c r="B51" s="6"/>
      <c r="C51" s="6"/>
      <c r="D51" s="6"/>
      <c r="E51" s="6"/>
      <c r="F51" s="6"/>
    </row>
    <row r="52" spans="1:6">
      <c r="A52" s="6"/>
      <c r="B52" s="6"/>
      <c r="C52" s="6"/>
      <c r="D52" s="6"/>
      <c r="E52" s="6"/>
      <c r="F52" s="6"/>
    </row>
    <row r="53" spans="1:6">
      <c r="A53" s="6"/>
      <c r="B53" s="6"/>
      <c r="C53" s="6"/>
      <c r="D53" s="6"/>
      <c r="E53" s="6"/>
      <c r="F53" s="6"/>
    </row>
    <row r="54" spans="1:6">
      <c r="A54" s="6"/>
      <c r="B54" s="6"/>
      <c r="C54" s="6"/>
      <c r="D54" s="6"/>
      <c r="E54" s="6"/>
      <c r="F54" s="6"/>
    </row>
    <row r="55" spans="1:6">
      <c r="A55" s="6"/>
      <c r="B55" s="6"/>
      <c r="C55" s="6"/>
      <c r="D55" s="6"/>
      <c r="E55" s="6"/>
      <c r="F55" s="6"/>
    </row>
    <row r="56" spans="1:6">
      <c r="A56" s="6"/>
      <c r="B56" s="6"/>
      <c r="C56" s="6"/>
      <c r="D56" s="6"/>
      <c r="E56" s="6"/>
      <c r="F56" s="6"/>
    </row>
    <row r="57" spans="1:6">
      <c r="A57" s="6"/>
      <c r="B57" s="6"/>
      <c r="C57" s="6"/>
      <c r="D57" s="6"/>
      <c r="E57" s="6"/>
      <c r="F57" s="6"/>
    </row>
    <row r="58" spans="1:6">
      <c r="A58" s="6"/>
      <c r="B58" s="6"/>
      <c r="C58" s="6"/>
      <c r="D58" s="6"/>
      <c r="E58" s="6"/>
      <c r="F58" s="6"/>
    </row>
    <row r="59" spans="1:6">
      <c r="A59" s="6"/>
      <c r="B59" s="6"/>
      <c r="C59" s="6"/>
      <c r="D59" s="6"/>
      <c r="E59" s="6"/>
      <c r="F59" s="6"/>
    </row>
    <row r="60" spans="1:6">
      <c r="A60" s="6"/>
      <c r="B60" s="6"/>
      <c r="C60" s="6"/>
      <c r="D60" s="6"/>
      <c r="E60" s="6"/>
      <c r="F60" s="6"/>
    </row>
    <row r="61" spans="1:6">
      <c r="A61" s="6"/>
      <c r="B61" s="6"/>
      <c r="C61" s="6"/>
      <c r="D61" s="6"/>
      <c r="E61" s="6"/>
      <c r="F61" s="6"/>
    </row>
    <row r="62" spans="1:6">
      <c r="A62" s="6"/>
      <c r="B62" s="6"/>
      <c r="C62" s="6"/>
      <c r="D62" s="6"/>
      <c r="E62" s="6"/>
      <c r="F62" s="6"/>
    </row>
    <row r="63" spans="1:6">
      <c r="A63" s="6"/>
      <c r="B63" s="6"/>
      <c r="C63" s="6"/>
      <c r="D63" s="6"/>
      <c r="E63" s="6"/>
      <c r="F63" s="6"/>
    </row>
    <row r="64" spans="1:6">
      <c r="A64" s="6"/>
      <c r="B64" s="6"/>
      <c r="C64" s="6"/>
      <c r="D64" s="6"/>
      <c r="E64" s="6"/>
      <c r="F64" s="6"/>
    </row>
    <row r="65" spans="1:6">
      <c r="A65" s="6"/>
      <c r="B65" s="6"/>
      <c r="C65" s="6"/>
      <c r="D65" s="6"/>
      <c r="E65" s="6"/>
      <c r="F65" s="6"/>
    </row>
    <row r="66" spans="1:6">
      <c r="A66" s="6"/>
      <c r="B66" s="6"/>
      <c r="C66" s="6"/>
      <c r="D66" s="6"/>
      <c r="E66" s="6"/>
      <c r="F66" s="6"/>
    </row>
    <row r="67" spans="1:6">
      <c r="A67" s="6"/>
      <c r="B67" s="6"/>
      <c r="C67" s="6"/>
      <c r="D67" s="6"/>
      <c r="E67" s="6"/>
      <c r="F67" s="6"/>
    </row>
    <row r="68" spans="1:6">
      <c r="A68" s="6"/>
      <c r="B68" s="6"/>
      <c r="C68" s="6"/>
      <c r="D68" s="6"/>
      <c r="E68" s="6"/>
      <c r="F68" s="6"/>
    </row>
    <row r="69" spans="1:6">
      <c r="A69" s="6"/>
      <c r="B69" s="6"/>
      <c r="C69" s="6"/>
      <c r="D69" s="6"/>
      <c r="E69" s="6"/>
      <c r="F69" s="6"/>
    </row>
    <row r="70" spans="1:6">
      <c r="A70" s="6"/>
      <c r="B70" s="6"/>
      <c r="C70" s="6"/>
      <c r="D70" s="6"/>
      <c r="E70" s="6"/>
      <c r="F70" s="6"/>
    </row>
    <row r="71" spans="1:6">
      <c r="A71" s="6"/>
      <c r="B71" s="6"/>
      <c r="C71" s="6"/>
      <c r="D71" s="6"/>
      <c r="E71" s="6"/>
      <c r="F71" s="6"/>
    </row>
    <row r="72" spans="1:6">
      <c r="A72" s="6"/>
      <c r="B72" s="6"/>
      <c r="C72" s="6"/>
      <c r="D72" s="6"/>
      <c r="E72" s="6"/>
      <c r="F72" s="6"/>
    </row>
    <row r="73" spans="1:6">
      <c r="A73" s="6"/>
      <c r="B73" s="6"/>
      <c r="C73" s="6"/>
      <c r="D73" s="6"/>
      <c r="E73" s="6"/>
      <c r="F73" s="6"/>
    </row>
    <row r="74" spans="1:6">
      <c r="A74" s="6"/>
      <c r="B74" s="6"/>
      <c r="C74" s="6"/>
      <c r="D74" s="6"/>
      <c r="E74" s="6"/>
      <c r="F74" s="6"/>
    </row>
    <row r="75" spans="1:6">
      <c r="A75" s="6"/>
      <c r="B75" s="6"/>
      <c r="C75" s="6"/>
      <c r="D75" s="6"/>
      <c r="E75" s="6"/>
      <c r="F75" s="6"/>
    </row>
    <row r="76" spans="1:6">
      <c r="A76" s="6"/>
      <c r="B76" s="6"/>
      <c r="C76" s="6"/>
      <c r="D76" s="6"/>
      <c r="E76" s="6"/>
      <c r="F76" s="6"/>
    </row>
    <row r="77" spans="1:6">
      <c r="A77" s="6"/>
      <c r="B77" s="6"/>
      <c r="C77" s="6"/>
      <c r="D77" s="6"/>
      <c r="E77" s="6"/>
      <c r="F77" s="6"/>
    </row>
    <row r="78" spans="1:6">
      <c r="A78" s="6"/>
      <c r="B78" s="6"/>
      <c r="C78" s="6"/>
      <c r="D78" s="6"/>
      <c r="E78" s="6"/>
      <c r="F78" s="6"/>
    </row>
    <row r="79" spans="1:6">
      <c r="A79" s="6"/>
      <c r="B79" s="6"/>
      <c r="C79" s="6"/>
      <c r="D79" s="6"/>
      <c r="E79" s="6"/>
      <c r="F79" s="6"/>
    </row>
    <row r="80" spans="1:6">
      <c r="A80" s="6"/>
      <c r="B80" s="6"/>
      <c r="C80" s="6"/>
      <c r="D80" s="6"/>
      <c r="E80" s="6"/>
      <c r="F80" s="6"/>
    </row>
    <row r="81" spans="1:6">
      <c r="A81" s="6"/>
      <c r="B81" s="6"/>
      <c r="C81" s="6"/>
      <c r="D81" s="6"/>
      <c r="E81" s="6"/>
      <c r="F81" s="6"/>
    </row>
    <row r="82" spans="1:6">
      <c r="A82" s="6"/>
      <c r="B82" s="6"/>
      <c r="C82" s="6"/>
      <c r="D82" s="6"/>
      <c r="E82" s="6"/>
      <c r="F82" s="6"/>
    </row>
    <row r="83" spans="1:6">
      <c r="A83" s="6"/>
      <c r="B83" s="6"/>
      <c r="C83" s="6"/>
      <c r="D83" s="6"/>
      <c r="E83" s="6"/>
      <c r="F83" s="6"/>
    </row>
    <row r="84" spans="1:6">
      <c r="A84" s="6"/>
      <c r="B84" s="6"/>
      <c r="C84" s="6"/>
      <c r="D84" s="6"/>
      <c r="E84" s="6"/>
      <c r="F84" s="6"/>
    </row>
    <row r="85" spans="1:6">
      <c r="A85" s="6"/>
      <c r="B85" s="6"/>
      <c r="C85" s="6"/>
      <c r="D85" s="6"/>
      <c r="E85" s="6"/>
      <c r="F85" s="6"/>
    </row>
    <row r="86" spans="1:6">
      <c r="A86" s="6"/>
      <c r="B86" s="6"/>
      <c r="C86" s="6"/>
      <c r="D86" s="6"/>
      <c r="E86" s="6"/>
      <c r="F86" s="6"/>
    </row>
    <row r="87" spans="1:6">
      <c r="A87" s="6"/>
      <c r="B87" s="6"/>
      <c r="C87" s="6"/>
      <c r="D87" s="6"/>
      <c r="E87" s="6"/>
      <c r="F87" s="6"/>
    </row>
    <row r="88" spans="1:6">
      <c r="A88" s="6"/>
      <c r="B88" s="6"/>
      <c r="C88" s="6"/>
      <c r="D88" s="6"/>
      <c r="E88" s="6"/>
      <c r="F88" s="6"/>
    </row>
    <row r="89" spans="1:6">
      <c r="A89" s="6"/>
      <c r="B89" s="6"/>
      <c r="C89" s="6"/>
      <c r="D89" s="6"/>
      <c r="E89" s="6"/>
      <c r="F89" s="6"/>
    </row>
    <row r="90" spans="1:6">
      <c r="A90" s="6"/>
      <c r="B90" s="6"/>
      <c r="C90" s="6"/>
      <c r="D90" s="6"/>
      <c r="E90" s="6"/>
      <c r="F90" s="6"/>
    </row>
    <row r="91" spans="1:6">
      <c r="A91" s="6"/>
      <c r="B91" s="6"/>
      <c r="C91" s="6"/>
      <c r="D91" s="6"/>
      <c r="E91" s="6"/>
      <c r="F91" s="6"/>
    </row>
    <row r="92" spans="1:6">
      <c r="A92" s="6"/>
      <c r="B92" s="6"/>
      <c r="C92" s="6"/>
      <c r="D92" s="6"/>
      <c r="E92" s="6"/>
      <c r="F92" s="6"/>
    </row>
    <row r="93" spans="1:6">
      <c r="A93" s="6"/>
      <c r="B93" s="6"/>
      <c r="C93" s="6"/>
      <c r="D93" s="6"/>
      <c r="E93" s="6"/>
      <c r="F93" s="6"/>
    </row>
    <row r="94" spans="1:6">
      <c r="A94" s="6"/>
      <c r="B94" s="6"/>
      <c r="C94" s="6"/>
      <c r="D94" s="6"/>
      <c r="E94" s="6"/>
      <c r="F94" s="6"/>
    </row>
    <row r="95" spans="1:6">
      <c r="A95" s="6"/>
      <c r="B95" s="6"/>
      <c r="C95" s="6"/>
      <c r="D95" s="6"/>
      <c r="E95" s="6"/>
      <c r="F95" s="6"/>
    </row>
    <row r="96" spans="1:6">
      <c r="A96" s="6"/>
      <c r="B96" s="6"/>
      <c r="C96" s="6"/>
      <c r="D96" s="6"/>
      <c r="E96" s="6"/>
      <c r="F96" s="6"/>
    </row>
    <row r="97" spans="1:6">
      <c r="A97" s="6"/>
      <c r="B97" s="6"/>
      <c r="C97" s="6"/>
      <c r="D97" s="6"/>
      <c r="E97" s="6"/>
      <c r="F97" s="6"/>
    </row>
    <row r="98" spans="1:6">
      <c r="A98" s="6"/>
      <c r="B98" s="6"/>
      <c r="C98" s="6"/>
      <c r="D98" s="6"/>
      <c r="E98" s="6"/>
      <c r="F98" s="6"/>
    </row>
    <row r="99" spans="1:6">
      <c r="A99" s="6"/>
      <c r="B99" s="6"/>
      <c r="C99" s="6"/>
      <c r="D99" s="6"/>
      <c r="E99" s="6"/>
      <c r="F99" s="6"/>
    </row>
    <row r="100" spans="1:6">
      <c r="A100" s="6"/>
      <c r="B100" s="6"/>
      <c r="C100" s="6"/>
      <c r="D100" s="6"/>
      <c r="E100" s="6"/>
      <c r="F100" s="6"/>
    </row>
    <row r="101" spans="1:6">
      <c r="A101" s="6"/>
      <c r="B101" s="6"/>
      <c r="C101" s="6"/>
      <c r="D101" s="6"/>
      <c r="E101" s="6"/>
      <c r="F101" s="6"/>
    </row>
    <row r="102" spans="1:6">
      <c r="A102" s="6"/>
      <c r="B102" s="6"/>
      <c r="C102" s="6"/>
      <c r="D102" s="6"/>
      <c r="E102" s="6"/>
      <c r="F102" s="6"/>
    </row>
    <row r="103" spans="1:6">
      <c r="A103" s="6"/>
      <c r="B103" s="6"/>
      <c r="C103" s="6"/>
      <c r="D103" s="6"/>
      <c r="E103" s="6"/>
      <c r="F103" s="6"/>
    </row>
    <row r="104" spans="1:6">
      <c r="A104" s="6"/>
      <c r="B104" s="6"/>
      <c r="C104" s="6"/>
      <c r="D104" s="6"/>
      <c r="E104" s="6"/>
      <c r="F104" s="6"/>
    </row>
    <row r="105" spans="1:6">
      <c r="A105" s="6"/>
      <c r="B105" s="6"/>
      <c r="C105" s="6"/>
      <c r="D105" s="6"/>
      <c r="E105" s="6"/>
      <c r="F105" s="6"/>
    </row>
  </sheetData>
  <mergeCells count="3">
    <mergeCell ref="A1:F1"/>
    <mergeCell ref="A2:F2"/>
    <mergeCell ref="A3:F3"/>
  </mergeCells>
  <conditionalFormatting sqref="E6:E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5">
    <dataValidation type="textLength" operator="lessThanOrEqual" allowBlank="1" showInputMessage="1" showErrorMessage="1" errorTitle="内容过长" error="最多100个字符。" sqref="A6:A105">
      <formula1>100</formula1>
    </dataValidation>
    <dataValidation type="textLength" operator="lessThanOrEqual" allowBlank="1" showInputMessage="1" showErrorMessage="1" errorTitle="内容过长" error="最多80个字符。" sqref="B6:B105">
      <formula1>80</formula1>
    </dataValidation>
    <dataValidation type="textLength" operator="lessThanOrEqual" allowBlank="1" showInputMessage="1" showErrorMessage="1" errorTitle="内容过长" error="最多32个字符。" sqref="C6:C105">
      <formula1>32</formula1>
    </dataValidation>
    <dataValidation type="list" allowBlank="1" showInputMessage="1" showErrorMessage="1" errorTitle="请选择下拉项" error="请从下拉列表选择，不要自行修改选项文字。" sqref="D6:D105">
      <formula1>yes_no</formula1>
    </dataValidation>
    <dataValidation type="list" allowBlank="1" showInputMessage="1" showErrorMessage="1" errorTitle="请选择下拉项" error="请从下拉列表选择，不要自行修改选项文字。" sqref="E6:E105">
      <formula1>maint_status</formula1>
    </dataValidation>
  </dataValidations>
  <hyperlinks>
    <hyperlink ref="A4" r:id="rId1"/>
  </hyperlinks>
  <pageMargins left="0.3" right="0.3" top="0.4" bottom="0.4" header="0.3" footer="0.3"/>
  <pageSetup paperSize="9" fitToHeight="0" orientation="landscape"/>
  <headerFooter>
    <oddFooter>&amp;L棚户记账 · 基础数据维护1.2.2&amp;R第 &amp;P 页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N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6.7109375" style="7" customWidth="1"/>
    <col min="2" max="2" width="14.7109375" style="6" customWidth="1"/>
    <col min="3" max="3" width="24.7109375" style="6" customWidth="1"/>
    <col min="4" max="4" width="25.7109375" style="6" customWidth="1"/>
    <col min="5" max="5" width="14.7109375" style="6" customWidth="1"/>
    <col min="6" max="7" width="23.7109375" style="9" customWidth="1"/>
    <col min="8" max="8" width="18.7109375" style="6" customWidth="1"/>
    <col min="9" max="9" width="23.7109375" style="6" customWidth="1"/>
    <col min="10" max="10" width="44.7109375" style="6" customWidth="1"/>
    <col min="11" max="11" width="17.7109375" style="6" customWidth="1"/>
    <col min="12" max="12" width="40.7109375" style="6" customWidth="1"/>
    <col min="13" max="13" width="17.7109375" style="6" customWidth="1"/>
    <col min="14" max="14" width="35.7109375" style="6" customWidth="1"/>
  </cols>
  <sheetData>
    <row r="1" spans="1:14" ht="36" customHeight="1">
      <c r="A1" s="1" t="s">
        <v>202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2" customHeight="1">
      <c r="A2" s="2" t="s">
        <v>203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8" customHeight="1">
      <c r="A3" s="2" t="s">
        <v>204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5" t="s">
        <v>172</v>
      </c>
    </row>
    <row r="5" spans="1:14" ht="44" customHeight="1">
      <c r="A5" s="3" t="s">
        <v>205</v>
      </c>
      <c r="B5" s="3" t="s">
        <v>206</v>
      </c>
      <c r="C5" s="3" t="s">
        <v>207</v>
      </c>
      <c r="D5" s="3" t="s">
        <v>208</v>
      </c>
      <c r="E5" s="3" t="s">
        <v>197</v>
      </c>
      <c r="F5" s="3" t="s">
        <v>209</v>
      </c>
      <c r="G5" s="3" t="s">
        <v>210</v>
      </c>
      <c r="H5" s="3" t="s">
        <v>211</v>
      </c>
      <c r="I5" s="3" t="s">
        <v>212</v>
      </c>
      <c r="J5" s="3" t="s">
        <v>213</v>
      </c>
      <c r="K5" s="3" t="s">
        <v>214</v>
      </c>
      <c r="L5" s="3" t="s">
        <v>215</v>
      </c>
      <c r="M5" s="3" t="s">
        <v>216</v>
      </c>
      <c r="N5" s="3" t="s">
        <v>88</v>
      </c>
    </row>
    <row r="6" spans="1:14">
      <c r="A6" s="7"/>
      <c r="B6" s="6"/>
      <c r="C6" s="6"/>
      <c r="D6" s="6"/>
      <c r="E6" s="6"/>
      <c r="F6" s="9"/>
      <c r="G6" s="9"/>
      <c r="H6" s="8">
        <f>IF(COUNT(F6:G6)&lt;2,"",ROUND(F6-G6,3))</f>
        <v/>
      </c>
      <c r="I6" s="6"/>
      <c r="J6" s="6"/>
      <c r="K6" s="6"/>
      <c r="L6" s="6"/>
      <c r="M6" s="6"/>
      <c r="N6" s="6"/>
    </row>
    <row r="7" spans="1:14">
      <c r="A7" s="7"/>
      <c r="B7" s="6"/>
      <c r="C7" s="6"/>
      <c r="D7" s="6"/>
      <c r="E7" s="6"/>
      <c r="F7" s="9"/>
      <c r="G7" s="9"/>
      <c r="H7" s="8">
        <f>IF(COUNT(F7:G7)&lt;2,"",ROUND(F7-G7,3))</f>
        <v/>
      </c>
      <c r="I7" s="6"/>
      <c r="J7" s="6"/>
      <c r="K7" s="6"/>
      <c r="L7" s="6"/>
      <c r="M7" s="6"/>
      <c r="N7" s="6"/>
    </row>
    <row r="8" spans="1:14">
      <c r="A8" s="7"/>
      <c r="B8" s="6"/>
      <c r="C8" s="6"/>
      <c r="D8" s="6"/>
      <c r="E8" s="6"/>
      <c r="F8" s="9"/>
      <c r="G8" s="9"/>
      <c r="H8" s="8">
        <f>IF(COUNT(F8:G8)&lt;2,"",ROUND(F8-G8,3))</f>
        <v/>
      </c>
      <c r="I8" s="6"/>
      <c r="J8" s="6"/>
      <c r="K8" s="6"/>
      <c r="L8" s="6"/>
      <c r="M8" s="6"/>
      <c r="N8" s="6"/>
    </row>
    <row r="9" spans="1:14">
      <c r="A9" s="7"/>
      <c r="B9" s="6"/>
      <c r="C9" s="6"/>
      <c r="D9" s="6"/>
      <c r="E9" s="6"/>
      <c r="F9" s="9"/>
      <c r="G9" s="9"/>
      <c r="H9" s="8">
        <f>IF(COUNT(F9:G9)&lt;2,"",ROUND(F9-G9,3))</f>
        <v/>
      </c>
      <c r="I9" s="6"/>
      <c r="J9" s="6"/>
      <c r="K9" s="6"/>
      <c r="L9" s="6"/>
      <c r="M9" s="6"/>
      <c r="N9" s="6"/>
    </row>
    <row r="10" spans="1:14">
      <c r="A10" s="7"/>
      <c r="B10" s="6"/>
      <c r="C10" s="6"/>
      <c r="D10" s="6"/>
      <c r="E10" s="6"/>
      <c r="F10" s="9"/>
      <c r="G10" s="9"/>
      <c r="H10" s="8">
        <f>IF(COUNT(F10:G10)&lt;2,"",ROUND(F10-G10,3))</f>
        <v/>
      </c>
      <c r="I10" s="6"/>
      <c r="J10" s="6"/>
      <c r="K10" s="6"/>
      <c r="L10" s="6"/>
      <c r="M10" s="6"/>
      <c r="N10" s="6"/>
    </row>
    <row r="11" spans="1:14">
      <c r="A11" s="7"/>
      <c r="B11" s="6"/>
      <c r="C11" s="6"/>
      <c r="D11" s="6"/>
      <c r="E11" s="6"/>
      <c r="F11" s="9"/>
      <c r="G11" s="9"/>
      <c r="H11" s="8">
        <f>IF(COUNT(F11:G11)&lt;2,"",ROUND(F11-G11,3))</f>
        <v/>
      </c>
      <c r="I11" s="6"/>
      <c r="J11" s="6"/>
      <c r="K11" s="6"/>
      <c r="L11" s="6"/>
      <c r="M11" s="6"/>
      <c r="N11" s="6"/>
    </row>
    <row r="12" spans="1:14">
      <c r="A12" s="7"/>
      <c r="B12" s="6"/>
      <c r="C12" s="6"/>
      <c r="D12" s="6"/>
      <c r="E12" s="6"/>
      <c r="F12" s="9"/>
      <c r="G12" s="9"/>
      <c r="H12" s="8">
        <f>IF(COUNT(F12:G12)&lt;2,"",ROUND(F12-G12,3))</f>
        <v/>
      </c>
      <c r="I12" s="6"/>
      <c r="J12" s="6"/>
      <c r="K12" s="6"/>
      <c r="L12" s="6"/>
      <c r="M12" s="6"/>
      <c r="N12" s="6"/>
    </row>
    <row r="13" spans="1:14">
      <c r="A13" s="7"/>
      <c r="B13" s="6"/>
      <c r="C13" s="6"/>
      <c r="D13" s="6"/>
      <c r="E13" s="6"/>
      <c r="F13" s="9"/>
      <c r="G13" s="9"/>
      <c r="H13" s="8">
        <f>IF(COUNT(F13:G13)&lt;2,"",ROUND(F13-G13,3))</f>
        <v/>
      </c>
      <c r="I13" s="6"/>
      <c r="J13" s="6"/>
      <c r="K13" s="6"/>
      <c r="L13" s="6"/>
      <c r="M13" s="6"/>
      <c r="N13" s="6"/>
    </row>
    <row r="14" spans="1:14">
      <c r="A14" s="7"/>
      <c r="B14" s="6"/>
      <c r="C14" s="6"/>
      <c r="D14" s="6"/>
      <c r="E14" s="6"/>
      <c r="F14" s="9"/>
      <c r="G14" s="9"/>
      <c r="H14" s="8">
        <f>IF(COUNT(F14:G14)&lt;2,"",ROUND(F14-G14,3))</f>
        <v/>
      </c>
      <c r="I14" s="6"/>
      <c r="J14" s="6"/>
      <c r="K14" s="6"/>
      <c r="L14" s="6"/>
      <c r="M14" s="6"/>
      <c r="N14" s="6"/>
    </row>
    <row r="15" spans="1:14">
      <c r="A15" s="7"/>
      <c r="B15" s="6"/>
      <c r="C15" s="6"/>
      <c r="D15" s="6"/>
      <c r="E15" s="6"/>
      <c r="F15" s="9"/>
      <c r="G15" s="9"/>
      <c r="H15" s="8">
        <f>IF(COUNT(F15:G15)&lt;2,"",ROUND(F15-G15,3))</f>
        <v/>
      </c>
      <c r="I15" s="6"/>
      <c r="J15" s="6"/>
      <c r="K15" s="6"/>
      <c r="L15" s="6"/>
      <c r="M15" s="6"/>
      <c r="N15" s="6"/>
    </row>
    <row r="16" spans="1:14">
      <c r="A16" s="7"/>
      <c r="B16" s="6"/>
      <c r="C16" s="6"/>
      <c r="D16" s="6"/>
      <c r="E16" s="6"/>
      <c r="F16" s="9"/>
      <c r="G16" s="9"/>
      <c r="H16" s="8">
        <f>IF(COUNT(F16:G16)&lt;2,"",ROUND(F16-G16,3))</f>
        <v/>
      </c>
      <c r="I16" s="6"/>
      <c r="J16" s="6"/>
      <c r="K16" s="6"/>
      <c r="L16" s="6"/>
      <c r="M16" s="6"/>
      <c r="N16" s="6"/>
    </row>
    <row r="17" spans="1:14">
      <c r="A17" s="7"/>
      <c r="B17" s="6"/>
      <c r="C17" s="6"/>
      <c r="D17" s="6"/>
      <c r="E17" s="6"/>
      <c r="F17" s="9"/>
      <c r="G17" s="9"/>
      <c r="H17" s="8">
        <f>IF(COUNT(F17:G17)&lt;2,"",ROUND(F17-G17,3))</f>
        <v/>
      </c>
      <c r="I17" s="6"/>
      <c r="J17" s="6"/>
      <c r="K17" s="6"/>
      <c r="L17" s="6"/>
      <c r="M17" s="6"/>
      <c r="N17" s="6"/>
    </row>
    <row r="18" spans="1:14">
      <c r="A18" s="7"/>
      <c r="B18" s="6"/>
      <c r="C18" s="6"/>
      <c r="D18" s="6"/>
      <c r="E18" s="6"/>
      <c r="F18" s="9"/>
      <c r="G18" s="9"/>
      <c r="H18" s="8">
        <f>IF(COUNT(F18:G18)&lt;2,"",ROUND(F18-G18,3))</f>
        <v/>
      </c>
      <c r="I18" s="6"/>
      <c r="J18" s="6"/>
      <c r="K18" s="6"/>
      <c r="L18" s="6"/>
      <c r="M18" s="6"/>
      <c r="N18" s="6"/>
    </row>
    <row r="19" spans="1:14">
      <c r="A19" s="7"/>
      <c r="B19" s="6"/>
      <c r="C19" s="6"/>
      <c r="D19" s="6"/>
      <c r="E19" s="6"/>
      <c r="F19" s="9"/>
      <c r="G19" s="9"/>
      <c r="H19" s="8">
        <f>IF(COUNT(F19:G19)&lt;2,"",ROUND(F19-G19,3))</f>
        <v/>
      </c>
      <c r="I19" s="6"/>
      <c r="J19" s="6"/>
      <c r="K19" s="6"/>
      <c r="L19" s="6"/>
      <c r="M19" s="6"/>
      <c r="N19" s="6"/>
    </row>
    <row r="20" spans="1:14">
      <c r="A20" s="7"/>
      <c r="B20" s="6"/>
      <c r="C20" s="6"/>
      <c r="D20" s="6"/>
      <c r="E20" s="6"/>
      <c r="F20" s="9"/>
      <c r="G20" s="9"/>
      <c r="H20" s="8">
        <f>IF(COUNT(F20:G20)&lt;2,"",ROUND(F20-G20,3))</f>
        <v/>
      </c>
      <c r="I20" s="6"/>
      <c r="J20" s="6"/>
      <c r="K20" s="6"/>
      <c r="L20" s="6"/>
      <c r="M20" s="6"/>
      <c r="N20" s="6"/>
    </row>
    <row r="21" spans="1:14">
      <c r="A21" s="7"/>
      <c r="B21" s="6"/>
      <c r="C21" s="6"/>
      <c r="D21" s="6"/>
      <c r="E21" s="6"/>
      <c r="F21" s="9"/>
      <c r="G21" s="9"/>
      <c r="H21" s="8">
        <f>IF(COUNT(F21:G21)&lt;2,"",ROUND(F21-G21,3))</f>
        <v/>
      </c>
      <c r="I21" s="6"/>
      <c r="J21" s="6"/>
      <c r="K21" s="6"/>
      <c r="L21" s="6"/>
      <c r="M21" s="6"/>
      <c r="N21" s="6"/>
    </row>
    <row r="22" spans="1:14">
      <c r="A22" s="7"/>
      <c r="B22" s="6"/>
      <c r="C22" s="6"/>
      <c r="D22" s="6"/>
      <c r="E22" s="6"/>
      <c r="F22" s="9"/>
      <c r="G22" s="9"/>
      <c r="H22" s="8">
        <f>IF(COUNT(F22:G22)&lt;2,"",ROUND(F22-G22,3))</f>
        <v/>
      </c>
      <c r="I22" s="6"/>
      <c r="J22" s="6"/>
      <c r="K22" s="6"/>
      <c r="L22" s="6"/>
      <c r="M22" s="6"/>
      <c r="N22" s="6"/>
    </row>
    <row r="23" spans="1:14">
      <c r="A23" s="7"/>
      <c r="B23" s="6"/>
      <c r="C23" s="6"/>
      <c r="D23" s="6"/>
      <c r="E23" s="6"/>
      <c r="F23" s="9"/>
      <c r="G23" s="9"/>
      <c r="H23" s="8">
        <f>IF(COUNT(F23:G23)&lt;2,"",ROUND(F23-G23,3))</f>
        <v/>
      </c>
      <c r="I23" s="6"/>
      <c r="J23" s="6"/>
      <c r="K23" s="6"/>
      <c r="L23" s="6"/>
      <c r="M23" s="6"/>
      <c r="N23" s="6"/>
    </row>
    <row r="24" spans="1:14">
      <c r="A24" s="7"/>
      <c r="B24" s="6"/>
      <c r="C24" s="6"/>
      <c r="D24" s="6"/>
      <c r="E24" s="6"/>
      <c r="F24" s="9"/>
      <c r="G24" s="9"/>
      <c r="H24" s="8">
        <f>IF(COUNT(F24:G24)&lt;2,"",ROUND(F24-G24,3))</f>
        <v/>
      </c>
      <c r="I24" s="6"/>
      <c r="J24" s="6"/>
      <c r="K24" s="6"/>
      <c r="L24" s="6"/>
      <c r="M24" s="6"/>
      <c r="N24" s="6"/>
    </row>
    <row r="25" spans="1:14">
      <c r="A25" s="7"/>
      <c r="B25" s="6"/>
      <c r="C25" s="6"/>
      <c r="D25" s="6"/>
      <c r="E25" s="6"/>
      <c r="F25" s="9"/>
      <c r="G25" s="9"/>
      <c r="H25" s="8">
        <f>IF(COUNT(F25:G25)&lt;2,"",ROUND(F25-G25,3))</f>
        <v/>
      </c>
      <c r="I25" s="6"/>
      <c r="J25" s="6"/>
      <c r="K25" s="6"/>
      <c r="L25" s="6"/>
      <c r="M25" s="6"/>
      <c r="N25" s="6"/>
    </row>
    <row r="26" spans="1:14">
      <c r="A26" s="7"/>
      <c r="B26" s="6"/>
      <c r="C26" s="6"/>
      <c r="D26" s="6"/>
      <c r="E26" s="6"/>
      <c r="F26" s="9"/>
      <c r="G26" s="9"/>
      <c r="H26" s="8">
        <f>IF(COUNT(F26:G26)&lt;2,"",ROUND(F26-G26,3))</f>
        <v/>
      </c>
      <c r="I26" s="6"/>
      <c r="J26" s="6"/>
      <c r="K26" s="6"/>
      <c r="L26" s="6"/>
      <c r="M26" s="6"/>
      <c r="N26" s="6"/>
    </row>
    <row r="27" spans="1:14">
      <c r="A27" s="7"/>
      <c r="B27" s="6"/>
      <c r="C27" s="6"/>
      <c r="D27" s="6"/>
      <c r="E27" s="6"/>
      <c r="F27" s="9"/>
      <c r="G27" s="9"/>
      <c r="H27" s="8">
        <f>IF(COUNT(F27:G27)&lt;2,"",ROUND(F27-G27,3))</f>
        <v/>
      </c>
      <c r="I27" s="6"/>
      <c r="J27" s="6"/>
      <c r="K27" s="6"/>
      <c r="L27" s="6"/>
      <c r="M27" s="6"/>
      <c r="N27" s="6"/>
    </row>
    <row r="28" spans="1:14">
      <c r="A28" s="7"/>
      <c r="B28" s="6"/>
      <c r="C28" s="6"/>
      <c r="D28" s="6"/>
      <c r="E28" s="6"/>
      <c r="F28" s="9"/>
      <c r="G28" s="9"/>
      <c r="H28" s="8">
        <f>IF(COUNT(F28:G28)&lt;2,"",ROUND(F28-G28,3))</f>
        <v/>
      </c>
      <c r="I28" s="6"/>
      <c r="J28" s="6"/>
      <c r="K28" s="6"/>
      <c r="L28" s="6"/>
      <c r="M28" s="6"/>
      <c r="N28" s="6"/>
    </row>
    <row r="29" spans="1:14">
      <c r="A29" s="7"/>
      <c r="B29" s="6"/>
      <c r="C29" s="6"/>
      <c r="D29" s="6"/>
      <c r="E29" s="6"/>
      <c r="F29" s="9"/>
      <c r="G29" s="9"/>
      <c r="H29" s="8">
        <f>IF(COUNT(F29:G29)&lt;2,"",ROUND(F29-G29,3))</f>
        <v/>
      </c>
      <c r="I29" s="6"/>
      <c r="J29" s="6"/>
      <c r="K29" s="6"/>
      <c r="L29" s="6"/>
      <c r="M29" s="6"/>
      <c r="N29" s="6"/>
    </row>
    <row r="30" spans="1:14">
      <c r="A30" s="7"/>
      <c r="B30" s="6"/>
      <c r="C30" s="6"/>
      <c r="D30" s="6"/>
      <c r="E30" s="6"/>
      <c r="F30" s="9"/>
      <c r="G30" s="9"/>
      <c r="H30" s="8">
        <f>IF(COUNT(F30:G30)&lt;2,"",ROUND(F30-G30,3))</f>
        <v/>
      </c>
      <c r="I30" s="6"/>
      <c r="J30" s="6"/>
      <c r="K30" s="6"/>
      <c r="L30" s="6"/>
      <c r="M30" s="6"/>
      <c r="N30" s="6"/>
    </row>
    <row r="31" spans="1:14">
      <c r="A31" s="7"/>
      <c r="B31" s="6"/>
      <c r="C31" s="6"/>
      <c r="D31" s="6"/>
      <c r="E31" s="6"/>
      <c r="F31" s="9"/>
      <c r="G31" s="9"/>
      <c r="H31" s="8">
        <f>IF(COUNT(F31:G31)&lt;2,"",ROUND(F31-G31,3))</f>
        <v/>
      </c>
      <c r="I31" s="6"/>
      <c r="J31" s="6"/>
      <c r="K31" s="6"/>
      <c r="L31" s="6"/>
      <c r="M31" s="6"/>
      <c r="N31" s="6"/>
    </row>
    <row r="32" spans="1:14">
      <c r="A32" s="7"/>
      <c r="B32" s="6"/>
      <c r="C32" s="6"/>
      <c r="D32" s="6"/>
      <c r="E32" s="6"/>
      <c r="F32" s="9"/>
      <c r="G32" s="9"/>
      <c r="H32" s="8">
        <f>IF(COUNT(F32:G32)&lt;2,"",ROUND(F32-G32,3))</f>
        <v/>
      </c>
      <c r="I32" s="6"/>
      <c r="J32" s="6"/>
      <c r="K32" s="6"/>
      <c r="L32" s="6"/>
      <c r="M32" s="6"/>
      <c r="N32" s="6"/>
    </row>
    <row r="33" spans="1:14">
      <c r="A33" s="7"/>
      <c r="B33" s="6"/>
      <c r="C33" s="6"/>
      <c r="D33" s="6"/>
      <c r="E33" s="6"/>
      <c r="F33" s="9"/>
      <c r="G33" s="9"/>
      <c r="H33" s="8">
        <f>IF(COUNT(F33:G33)&lt;2,"",ROUND(F33-G33,3))</f>
        <v/>
      </c>
      <c r="I33" s="6"/>
      <c r="J33" s="6"/>
      <c r="K33" s="6"/>
      <c r="L33" s="6"/>
      <c r="M33" s="6"/>
      <c r="N33" s="6"/>
    </row>
    <row r="34" spans="1:14">
      <c r="A34" s="7"/>
      <c r="B34" s="6"/>
      <c r="C34" s="6"/>
      <c r="D34" s="6"/>
      <c r="E34" s="6"/>
      <c r="F34" s="9"/>
      <c r="G34" s="9"/>
      <c r="H34" s="8">
        <f>IF(COUNT(F34:G34)&lt;2,"",ROUND(F34-G34,3))</f>
        <v/>
      </c>
      <c r="I34" s="6"/>
      <c r="J34" s="6"/>
      <c r="K34" s="6"/>
      <c r="L34" s="6"/>
      <c r="M34" s="6"/>
      <c r="N34" s="6"/>
    </row>
    <row r="35" spans="1:14">
      <c r="A35" s="7"/>
      <c r="B35" s="6"/>
      <c r="C35" s="6"/>
      <c r="D35" s="6"/>
      <c r="E35" s="6"/>
      <c r="F35" s="9"/>
      <c r="G35" s="9"/>
      <c r="H35" s="8">
        <f>IF(COUNT(F35:G35)&lt;2,"",ROUND(F35-G35,3))</f>
        <v/>
      </c>
      <c r="I35" s="6"/>
      <c r="J35" s="6"/>
      <c r="K35" s="6"/>
      <c r="L35" s="6"/>
      <c r="M35" s="6"/>
      <c r="N35" s="6"/>
    </row>
    <row r="36" spans="1:14">
      <c r="A36" s="7"/>
      <c r="B36" s="6"/>
      <c r="C36" s="6"/>
      <c r="D36" s="6"/>
      <c r="E36" s="6"/>
      <c r="F36" s="9"/>
      <c r="G36" s="9"/>
      <c r="H36" s="8">
        <f>IF(COUNT(F36:G36)&lt;2,"",ROUND(F36-G36,3))</f>
        <v/>
      </c>
      <c r="I36" s="6"/>
      <c r="J36" s="6"/>
      <c r="K36" s="6"/>
      <c r="L36" s="6"/>
      <c r="M36" s="6"/>
      <c r="N36" s="6"/>
    </row>
    <row r="37" spans="1:14">
      <c r="A37" s="7"/>
      <c r="B37" s="6"/>
      <c r="C37" s="6"/>
      <c r="D37" s="6"/>
      <c r="E37" s="6"/>
      <c r="F37" s="9"/>
      <c r="G37" s="9"/>
      <c r="H37" s="8">
        <f>IF(COUNT(F37:G37)&lt;2,"",ROUND(F37-G37,3))</f>
        <v/>
      </c>
      <c r="I37" s="6"/>
      <c r="J37" s="6"/>
      <c r="K37" s="6"/>
      <c r="L37" s="6"/>
      <c r="M37" s="6"/>
      <c r="N37" s="6"/>
    </row>
    <row r="38" spans="1:14">
      <c r="A38" s="7"/>
      <c r="B38" s="6"/>
      <c r="C38" s="6"/>
      <c r="D38" s="6"/>
      <c r="E38" s="6"/>
      <c r="F38" s="9"/>
      <c r="G38" s="9"/>
      <c r="H38" s="8">
        <f>IF(COUNT(F38:G38)&lt;2,"",ROUND(F38-G38,3))</f>
        <v/>
      </c>
      <c r="I38" s="6"/>
      <c r="J38" s="6"/>
      <c r="K38" s="6"/>
      <c r="L38" s="6"/>
      <c r="M38" s="6"/>
      <c r="N38" s="6"/>
    </row>
    <row r="39" spans="1:14">
      <c r="A39" s="7"/>
      <c r="B39" s="6"/>
      <c r="C39" s="6"/>
      <c r="D39" s="6"/>
      <c r="E39" s="6"/>
      <c r="F39" s="9"/>
      <c r="G39" s="9"/>
      <c r="H39" s="8">
        <f>IF(COUNT(F39:G39)&lt;2,"",ROUND(F39-G39,3))</f>
        <v/>
      </c>
      <c r="I39" s="6"/>
      <c r="J39" s="6"/>
      <c r="K39" s="6"/>
      <c r="L39" s="6"/>
      <c r="M39" s="6"/>
      <c r="N39" s="6"/>
    </row>
    <row r="40" spans="1:14">
      <c r="A40" s="7"/>
      <c r="B40" s="6"/>
      <c r="C40" s="6"/>
      <c r="D40" s="6"/>
      <c r="E40" s="6"/>
      <c r="F40" s="9"/>
      <c r="G40" s="9"/>
      <c r="H40" s="8">
        <f>IF(COUNT(F40:G40)&lt;2,"",ROUND(F40-G40,3))</f>
        <v/>
      </c>
      <c r="I40" s="6"/>
      <c r="J40" s="6"/>
      <c r="K40" s="6"/>
      <c r="L40" s="6"/>
      <c r="M40" s="6"/>
      <c r="N40" s="6"/>
    </row>
    <row r="41" spans="1:14">
      <c r="A41" s="7"/>
      <c r="B41" s="6"/>
      <c r="C41" s="6"/>
      <c r="D41" s="6"/>
      <c r="E41" s="6"/>
      <c r="F41" s="9"/>
      <c r="G41" s="9"/>
      <c r="H41" s="8">
        <f>IF(COUNT(F41:G41)&lt;2,"",ROUND(F41-G41,3))</f>
        <v/>
      </c>
      <c r="I41" s="6"/>
      <c r="J41" s="6"/>
      <c r="K41" s="6"/>
      <c r="L41" s="6"/>
      <c r="M41" s="6"/>
      <c r="N41" s="6"/>
    </row>
    <row r="42" spans="1:14">
      <c r="A42" s="7"/>
      <c r="B42" s="6"/>
      <c r="C42" s="6"/>
      <c r="D42" s="6"/>
      <c r="E42" s="6"/>
      <c r="F42" s="9"/>
      <c r="G42" s="9"/>
      <c r="H42" s="8">
        <f>IF(COUNT(F42:G42)&lt;2,"",ROUND(F42-G42,3))</f>
        <v/>
      </c>
      <c r="I42" s="6"/>
      <c r="J42" s="6"/>
      <c r="K42" s="6"/>
      <c r="L42" s="6"/>
      <c r="M42" s="6"/>
      <c r="N42" s="6"/>
    </row>
    <row r="43" spans="1:14">
      <c r="A43" s="7"/>
      <c r="B43" s="6"/>
      <c r="C43" s="6"/>
      <c r="D43" s="6"/>
      <c r="E43" s="6"/>
      <c r="F43" s="9"/>
      <c r="G43" s="9"/>
      <c r="H43" s="8">
        <f>IF(COUNT(F43:G43)&lt;2,"",ROUND(F43-G43,3))</f>
        <v/>
      </c>
      <c r="I43" s="6"/>
      <c r="J43" s="6"/>
      <c r="K43" s="6"/>
      <c r="L43" s="6"/>
      <c r="M43" s="6"/>
      <c r="N43" s="6"/>
    </row>
    <row r="44" spans="1:14">
      <c r="A44" s="7"/>
      <c r="B44" s="6"/>
      <c r="C44" s="6"/>
      <c r="D44" s="6"/>
      <c r="E44" s="6"/>
      <c r="F44" s="9"/>
      <c r="G44" s="9"/>
      <c r="H44" s="8">
        <f>IF(COUNT(F44:G44)&lt;2,"",ROUND(F44-G44,3))</f>
        <v/>
      </c>
      <c r="I44" s="6"/>
      <c r="J44" s="6"/>
      <c r="K44" s="6"/>
      <c r="L44" s="6"/>
      <c r="M44" s="6"/>
      <c r="N44" s="6"/>
    </row>
    <row r="45" spans="1:14">
      <c r="A45" s="7"/>
      <c r="B45" s="6"/>
      <c r="C45" s="6"/>
      <c r="D45" s="6"/>
      <c r="E45" s="6"/>
      <c r="F45" s="9"/>
      <c r="G45" s="9"/>
      <c r="H45" s="8">
        <f>IF(COUNT(F45:G45)&lt;2,"",ROUND(F45-G45,3))</f>
        <v/>
      </c>
      <c r="I45" s="6"/>
      <c r="J45" s="6"/>
      <c r="K45" s="6"/>
      <c r="L45" s="6"/>
      <c r="M45" s="6"/>
      <c r="N45" s="6"/>
    </row>
    <row r="46" spans="1:14">
      <c r="A46" s="7"/>
      <c r="B46" s="6"/>
      <c r="C46" s="6"/>
      <c r="D46" s="6"/>
      <c r="E46" s="6"/>
      <c r="F46" s="9"/>
      <c r="G46" s="9"/>
      <c r="H46" s="8">
        <f>IF(COUNT(F46:G46)&lt;2,"",ROUND(F46-G46,3))</f>
        <v/>
      </c>
      <c r="I46" s="6"/>
      <c r="J46" s="6"/>
      <c r="K46" s="6"/>
      <c r="L46" s="6"/>
      <c r="M46" s="6"/>
      <c r="N46" s="6"/>
    </row>
    <row r="47" spans="1:14">
      <c r="A47" s="7"/>
      <c r="B47" s="6"/>
      <c r="C47" s="6"/>
      <c r="D47" s="6"/>
      <c r="E47" s="6"/>
      <c r="F47" s="9"/>
      <c r="G47" s="9"/>
      <c r="H47" s="8">
        <f>IF(COUNT(F47:G47)&lt;2,"",ROUND(F47-G47,3))</f>
        <v/>
      </c>
      <c r="I47" s="6"/>
      <c r="J47" s="6"/>
      <c r="K47" s="6"/>
      <c r="L47" s="6"/>
      <c r="M47" s="6"/>
      <c r="N47" s="6"/>
    </row>
    <row r="48" spans="1:14">
      <c r="A48" s="7"/>
      <c r="B48" s="6"/>
      <c r="C48" s="6"/>
      <c r="D48" s="6"/>
      <c r="E48" s="6"/>
      <c r="F48" s="9"/>
      <c r="G48" s="9"/>
      <c r="H48" s="8">
        <f>IF(COUNT(F48:G48)&lt;2,"",ROUND(F48-G48,3))</f>
        <v/>
      </c>
      <c r="I48" s="6"/>
      <c r="J48" s="6"/>
      <c r="K48" s="6"/>
      <c r="L48" s="6"/>
      <c r="M48" s="6"/>
      <c r="N48" s="6"/>
    </row>
    <row r="49" spans="1:14">
      <c r="A49" s="7"/>
      <c r="B49" s="6"/>
      <c r="C49" s="6"/>
      <c r="D49" s="6"/>
      <c r="E49" s="6"/>
      <c r="F49" s="9"/>
      <c r="G49" s="9"/>
      <c r="H49" s="8">
        <f>IF(COUNT(F49:G49)&lt;2,"",ROUND(F49-G49,3))</f>
        <v/>
      </c>
      <c r="I49" s="6"/>
      <c r="J49" s="6"/>
      <c r="K49" s="6"/>
      <c r="L49" s="6"/>
      <c r="M49" s="6"/>
      <c r="N49" s="6"/>
    </row>
    <row r="50" spans="1:14">
      <c r="A50" s="7"/>
      <c r="B50" s="6"/>
      <c r="C50" s="6"/>
      <c r="D50" s="6"/>
      <c r="E50" s="6"/>
      <c r="F50" s="9"/>
      <c r="G50" s="9"/>
      <c r="H50" s="8">
        <f>IF(COUNT(F50:G50)&lt;2,"",ROUND(F50-G50,3))</f>
        <v/>
      </c>
      <c r="I50" s="6"/>
      <c r="J50" s="6"/>
      <c r="K50" s="6"/>
      <c r="L50" s="6"/>
      <c r="M50" s="6"/>
      <c r="N50" s="6"/>
    </row>
    <row r="51" spans="1:14">
      <c r="A51" s="7"/>
      <c r="B51" s="6"/>
      <c r="C51" s="6"/>
      <c r="D51" s="6"/>
      <c r="E51" s="6"/>
      <c r="F51" s="9"/>
      <c r="G51" s="9"/>
      <c r="H51" s="8">
        <f>IF(COUNT(F51:G51)&lt;2,"",ROUND(F51-G51,3))</f>
        <v/>
      </c>
      <c r="I51" s="6"/>
      <c r="J51" s="6"/>
      <c r="K51" s="6"/>
      <c r="L51" s="6"/>
      <c r="M51" s="6"/>
      <c r="N51" s="6"/>
    </row>
    <row r="52" spans="1:14">
      <c r="A52" s="7"/>
      <c r="B52" s="6"/>
      <c r="C52" s="6"/>
      <c r="D52" s="6"/>
      <c r="E52" s="6"/>
      <c r="F52" s="9"/>
      <c r="G52" s="9"/>
      <c r="H52" s="8">
        <f>IF(COUNT(F52:G52)&lt;2,"",ROUND(F52-G52,3))</f>
        <v/>
      </c>
      <c r="I52" s="6"/>
      <c r="J52" s="6"/>
      <c r="K52" s="6"/>
      <c r="L52" s="6"/>
      <c r="M52" s="6"/>
      <c r="N52" s="6"/>
    </row>
    <row r="53" spans="1:14">
      <c r="A53" s="7"/>
      <c r="B53" s="6"/>
      <c r="C53" s="6"/>
      <c r="D53" s="6"/>
      <c r="E53" s="6"/>
      <c r="F53" s="9"/>
      <c r="G53" s="9"/>
      <c r="H53" s="8">
        <f>IF(COUNT(F53:G53)&lt;2,"",ROUND(F53-G53,3))</f>
        <v/>
      </c>
      <c r="I53" s="6"/>
      <c r="J53" s="6"/>
      <c r="K53" s="6"/>
      <c r="L53" s="6"/>
      <c r="M53" s="6"/>
      <c r="N53" s="6"/>
    </row>
    <row r="54" spans="1:14">
      <c r="A54" s="7"/>
      <c r="B54" s="6"/>
      <c r="C54" s="6"/>
      <c r="D54" s="6"/>
      <c r="E54" s="6"/>
      <c r="F54" s="9"/>
      <c r="G54" s="9"/>
      <c r="H54" s="8">
        <f>IF(COUNT(F54:G54)&lt;2,"",ROUND(F54-G54,3))</f>
        <v/>
      </c>
      <c r="I54" s="6"/>
      <c r="J54" s="6"/>
      <c r="K54" s="6"/>
      <c r="L54" s="6"/>
      <c r="M54" s="6"/>
      <c r="N54" s="6"/>
    </row>
    <row r="55" spans="1:14">
      <c r="A55" s="7"/>
      <c r="B55" s="6"/>
      <c r="C55" s="6"/>
      <c r="D55" s="6"/>
      <c r="E55" s="6"/>
      <c r="F55" s="9"/>
      <c r="G55" s="9"/>
      <c r="H55" s="8">
        <f>IF(COUNT(F55:G55)&lt;2,"",ROUND(F55-G55,3))</f>
        <v/>
      </c>
      <c r="I55" s="6"/>
      <c r="J55" s="6"/>
      <c r="K55" s="6"/>
      <c r="L55" s="6"/>
      <c r="M55" s="6"/>
      <c r="N55" s="6"/>
    </row>
    <row r="56" spans="1:14">
      <c r="A56" s="7"/>
      <c r="B56" s="6"/>
      <c r="C56" s="6"/>
      <c r="D56" s="6"/>
      <c r="E56" s="6"/>
      <c r="F56" s="9"/>
      <c r="G56" s="9"/>
      <c r="H56" s="8">
        <f>IF(COUNT(F56:G56)&lt;2,"",ROUND(F56-G56,3))</f>
        <v/>
      </c>
      <c r="I56" s="6"/>
      <c r="J56" s="6"/>
      <c r="K56" s="6"/>
      <c r="L56" s="6"/>
      <c r="M56" s="6"/>
      <c r="N56" s="6"/>
    </row>
    <row r="57" spans="1:14">
      <c r="A57" s="7"/>
      <c r="B57" s="6"/>
      <c r="C57" s="6"/>
      <c r="D57" s="6"/>
      <c r="E57" s="6"/>
      <c r="F57" s="9"/>
      <c r="G57" s="9"/>
      <c r="H57" s="8">
        <f>IF(COUNT(F57:G57)&lt;2,"",ROUND(F57-G57,3))</f>
        <v/>
      </c>
      <c r="I57" s="6"/>
      <c r="J57" s="6"/>
      <c r="K57" s="6"/>
      <c r="L57" s="6"/>
      <c r="M57" s="6"/>
      <c r="N57" s="6"/>
    </row>
    <row r="58" spans="1:14">
      <c r="A58" s="7"/>
      <c r="B58" s="6"/>
      <c r="C58" s="6"/>
      <c r="D58" s="6"/>
      <c r="E58" s="6"/>
      <c r="F58" s="9"/>
      <c r="G58" s="9"/>
      <c r="H58" s="8">
        <f>IF(COUNT(F58:G58)&lt;2,"",ROUND(F58-G58,3))</f>
        <v/>
      </c>
      <c r="I58" s="6"/>
      <c r="J58" s="6"/>
      <c r="K58" s="6"/>
      <c r="L58" s="6"/>
      <c r="M58" s="6"/>
      <c r="N58" s="6"/>
    </row>
    <row r="59" spans="1:14">
      <c r="A59" s="7"/>
      <c r="B59" s="6"/>
      <c r="C59" s="6"/>
      <c r="D59" s="6"/>
      <c r="E59" s="6"/>
      <c r="F59" s="9"/>
      <c r="G59" s="9"/>
      <c r="H59" s="8">
        <f>IF(COUNT(F59:G59)&lt;2,"",ROUND(F59-G59,3))</f>
        <v/>
      </c>
      <c r="I59" s="6"/>
      <c r="J59" s="6"/>
      <c r="K59" s="6"/>
      <c r="L59" s="6"/>
      <c r="M59" s="6"/>
      <c r="N59" s="6"/>
    </row>
    <row r="60" spans="1:14">
      <c r="A60" s="7"/>
      <c r="B60" s="6"/>
      <c r="C60" s="6"/>
      <c r="D60" s="6"/>
      <c r="E60" s="6"/>
      <c r="F60" s="9"/>
      <c r="G60" s="9"/>
      <c r="H60" s="8">
        <f>IF(COUNT(F60:G60)&lt;2,"",ROUND(F60-G60,3))</f>
        <v/>
      </c>
      <c r="I60" s="6"/>
      <c r="J60" s="6"/>
      <c r="K60" s="6"/>
      <c r="L60" s="6"/>
      <c r="M60" s="6"/>
      <c r="N60" s="6"/>
    </row>
    <row r="61" spans="1:14">
      <c r="A61" s="7"/>
      <c r="B61" s="6"/>
      <c r="C61" s="6"/>
      <c r="D61" s="6"/>
      <c r="E61" s="6"/>
      <c r="F61" s="9"/>
      <c r="G61" s="9"/>
      <c r="H61" s="8">
        <f>IF(COUNT(F61:G61)&lt;2,"",ROUND(F61-G61,3))</f>
        <v/>
      </c>
      <c r="I61" s="6"/>
      <c r="J61" s="6"/>
      <c r="K61" s="6"/>
      <c r="L61" s="6"/>
      <c r="M61" s="6"/>
      <c r="N61" s="6"/>
    </row>
    <row r="62" spans="1:14">
      <c r="A62" s="7"/>
      <c r="B62" s="6"/>
      <c r="C62" s="6"/>
      <c r="D62" s="6"/>
      <c r="E62" s="6"/>
      <c r="F62" s="9"/>
      <c r="G62" s="9"/>
      <c r="H62" s="8">
        <f>IF(COUNT(F62:G62)&lt;2,"",ROUND(F62-G62,3))</f>
        <v/>
      </c>
      <c r="I62" s="6"/>
      <c r="J62" s="6"/>
      <c r="K62" s="6"/>
      <c r="L62" s="6"/>
      <c r="M62" s="6"/>
      <c r="N62" s="6"/>
    </row>
    <row r="63" spans="1:14">
      <c r="A63" s="7"/>
      <c r="B63" s="6"/>
      <c r="C63" s="6"/>
      <c r="D63" s="6"/>
      <c r="E63" s="6"/>
      <c r="F63" s="9"/>
      <c r="G63" s="9"/>
      <c r="H63" s="8">
        <f>IF(COUNT(F63:G63)&lt;2,"",ROUND(F63-G63,3))</f>
        <v/>
      </c>
      <c r="I63" s="6"/>
      <c r="J63" s="6"/>
      <c r="K63" s="6"/>
      <c r="L63" s="6"/>
      <c r="M63" s="6"/>
      <c r="N63" s="6"/>
    </row>
    <row r="64" spans="1:14">
      <c r="A64" s="7"/>
      <c r="B64" s="6"/>
      <c r="C64" s="6"/>
      <c r="D64" s="6"/>
      <c r="E64" s="6"/>
      <c r="F64" s="9"/>
      <c r="G64" s="9"/>
      <c r="H64" s="8">
        <f>IF(COUNT(F64:G64)&lt;2,"",ROUND(F64-G64,3))</f>
        <v/>
      </c>
      <c r="I64" s="6"/>
      <c r="J64" s="6"/>
      <c r="K64" s="6"/>
      <c r="L64" s="6"/>
      <c r="M64" s="6"/>
      <c r="N64" s="6"/>
    </row>
    <row r="65" spans="1:14">
      <c r="A65" s="7"/>
      <c r="B65" s="6"/>
      <c r="C65" s="6"/>
      <c r="D65" s="6"/>
      <c r="E65" s="6"/>
      <c r="F65" s="9"/>
      <c r="G65" s="9"/>
      <c r="H65" s="8">
        <f>IF(COUNT(F65:G65)&lt;2,"",ROUND(F65-G65,3))</f>
        <v/>
      </c>
      <c r="I65" s="6"/>
      <c r="J65" s="6"/>
      <c r="K65" s="6"/>
      <c r="L65" s="6"/>
      <c r="M65" s="6"/>
      <c r="N65" s="6"/>
    </row>
    <row r="66" spans="1:14">
      <c r="A66" s="7"/>
      <c r="B66" s="6"/>
      <c r="C66" s="6"/>
      <c r="D66" s="6"/>
      <c r="E66" s="6"/>
      <c r="F66" s="9"/>
      <c r="G66" s="9"/>
      <c r="H66" s="8">
        <f>IF(COUNT(F66:G66)&lt;2,"",ROUND(F66-G66,3))</f>
        <v/>
      </c>
      <c r="I66" s="6"/>
      <c r="J66" s="6"/>
      <c r="K66" s="6"/>
      <c r="L66" s="6"/>
      <c r="M66" s="6"/>
      <c r="N66" s="6"/>
    </row>
    <row r="67" spans="1:14">
      <c r="A67" s="7"/>
      <c r="B67" s="6"/>
      <c r="C67" s="6"/>
      <c r="D67" s="6"/>
      <c r="E67" s="6"/>
      <c r="F67" s="9"/>
      <c r="G67" s="9"/>
      <c r="H67" s="8">
        <f>IF(COUNT(F67:G67)&lt;2,"",ROUND(F67-G67,3))</f>
        <v/>
      </c>
      <c r="I67" s="6"/>
      <c r="J67" s="6"/>
      <c r="K67" s="6"/>
      <c r="L67" s="6"/>
      <c r="M67" s="6"/>
      <c r="N67" s="6"/>
    </row>
    <row r="68" spans="1:14">
      <c r="A68" s="7"/>
      <c r="B68" s="6"/>
      <c r="C68" s="6"/>
      <c r="D68" s="6"/>
      <c r="E68" s="6"/>
      <c r="F68" s="9"/>
      <c r="G68" s="9"/>
      <c r="H68" s="8">
        <f>IF(COUNT(F68:G68)&lt;2,"",ROUND(F68-G68,3))</f>
        <v/>
      </c>
      <c r="I68" s="6"/>
      <c r="J68" s="6"/>
      <c r="K68" s="6"/>
      <c r="L68" s="6"/>
      <c r="M68" s="6"/>
      <c r="N68" s="6"/>
    </row>
    <row r="69" spans="1:14">
      <c r="A69" s="7"/>
      <c r="B69" s="6"/>
      <c r="C69" s="6"/>
      <c r="D69" s="6"/>
      <c r="E69" s="6"/>
      <c r="F69" s="9"/>
      <c r="G69" s="9"/>
      <c r="H69" s="8">
        <f>IF(COUNT(F69:G69)&lt;2,"",ROUND(F69-G69,3))</f>
        <v/>
      </c>
      <c r="I69" s="6"/>
      <c r="J69" s="6"/>
      <c r="K69" s="6"/>
      <c r="L69" s="6"/>
      <c r="M69" s="6"/>
      <c r="N69" s="6"/>
    </row>
    <row r="70" spans="1:14">
      <c r="A70" s="7"/>
      <c r="B70" s="6"/>
      <c r="C70" s="6"/>
      <c r="D70" s="6"/>
      <c r="E70" s="6"/>
      <c r="F70" s="9"/>
      <c r="G70" s="9"/>
      <c r="H70" s="8">
        <f>IF(COUNT(F70:G70)&lt;2,"",ROUND(F70-G70,3))</f>
        <v/>
      </c>
      <c r="I70" s="6"/>
      <c r="J70" s="6"/>
      <c r="K70" s="6"/>
      <c r="L70" s="6"/>
      <c r="M70" s="6"/>
      <c r="N70" s="6"/>
    </row>
    <row r="71" spans="1:14">
      <c r="A71" s="7"/>
      <c r="B71" s="6"/>
      <c r="C71" s="6"/>
      <c r="D71" s="6"/>
      <c r="E71" s="6"/>
      <c r="F71" s="9"/>
      <c r="G71" s="9"/>
      <c r="H71" s="8">
        <f>IF(COUNT(F71:G71)&lt;2,"",ROUND(F71-G71,3))</f>
        <v/>
      </c>
      <c r="I71" s="6"/>
      <c r="J71" s="6"/>
      <c r="K71" s="6"/>
      <c r="L71" s="6"/>
      <c r="M71" s="6"/>
      <c r="N71" s="6"/>
    </row>
    <row r="72" spans="1:14">
      <c r="A72" s="7"/>
      <c r="B72" s="6"/>
      <c r="C72" s="6"/>
      <c r="D72" s="6"/>
      <c r="E72" s="6"/>
      <c r="F72" s="9"/>
      <c r="G72" s="9"/>
      <c r="H72" s="8">
        <f>IF(COUNT(F72:G72)&lt;2,"",ROUND(F72-G72,3))</f>
        <v/>
      </c>
      <c r="I72" s="6"/>
      <c r="J72" s="6"/>
      <c r="K72" s="6"/>
      <c r="L72" s="6"/>
      <c r="M72" s="6"/>
      <c r="N72" s="6"/>
    </row>
    <row r="73" spans="1:14">
      <c r="A73" s="7"/>
      <c r="B73" s="6"/>
      <c r="C73" s="6"/>
      <c r="D73" s="6"/>
      <c r="E73" s="6"/>
      <c r="F73" s="9"/>
      <c r="G73" s="9"/>
      <c r="H73" s="8">
        <f>IF(COUNT(F73:G73)&lt;2,"",ROUND(F73-G73,3))</f>
        <v/>
      </c>
      <c r="I73" s="6"/>
      <c r="J73" s="6"/>
      <c r="K73" s="6"/>
      <c r="L73" s="6"/>
      <c r="M73" s="6"/>
      <c r="N73" s="6"/>
    </row>
    <row r="74" spans="1:14">
      <c r="A74" s="7"/>
      <c r="B74" s="6"/>
      <c r="C74" s="6"/>
      <c r="D74" s="6"/>
      <c r="E74" s="6"/>
      <c r="F74" s="9"/>
      <c r="G74" s="9"/>
      <c r="H74" s="8">
        <f>IF(COUNT(F74:G74)&lt;2,"",ROUND(F74-G74,3))</f>
        <v/>
      </c>
      <c r="I74" s="6"/>
      <c r="J74" s="6"/>
      <c r="K74" s="6"/>
      <c r="L74" s="6"/>
      <c r="M74" s="6"/>
      <c r="N74" s="6"/>
    </row>
    <row r="75" spans="1:14">
      <c r="A75" s="7"/>
      <c r="B75" s="6"/>
      <c r="C75" s="6"/>
      <c r="D75" s="6"/>
      <c r="E75" s="6"/>
      <c r="F75" s="9"/>
      <c r="G75" s="9"/>
      <c r="H75" s="8">
        <f>IF(COUNT(F75:G75)&lt;2,"",ROUND(F75-G75,3))</f>
        <v/>
      </c>
      <c r="I75" s="6"/>
      <c r="J75" s="6"/>
      <c r="K75" s="6"/>
      <c r="L75" s="6"/>
      <c r="M75" s="6"/>
      <c r="N75" s="6"/>
    </row>
    <row r="76" spans="1:14">
      <c r="A76" s="7"/>
      <c r="B76" s="6"/>
      <c r="C76" s="6"/>
      <c r="D76" s="6"/>
      <c r="E76" s="6"/>
      <c r="F76" s="9"/>
      <c r="G76" s="9"/>
      <c r="H76" s="8">
        <f>IF(COUNT(F76:G76)&lt;2,"",ROUND(F76-G76,3))</f>
        <v/>
      </c>
      <c r="I76" s="6"/>
      <c r="J76" s="6"/>
      <c r="K76" s="6"/>
      <c r="L76" s="6"/>
      <c r="M76" s="6"/>
      <c r="N76" s="6"/>
    </row>
    <row r="77" spans="1:14">
      <c r="A77" s="7"/>
      <c r="B77" s="6"/>
      <c r="C77" s="6"/>
      <c r="D77" s="6"/>
      <c r="E77" s="6"/>
      <c r="F77" s="9"/>
      <c r="G77" s="9"/>
      <c r="H77" s="8">
        <f>IF(COUNT(F77:G77)&lt;2,"",ROUND(F77-G77,3))</f>
        <v/>
      </c>
      <c r="I77" s="6"/>
      <c r="J77" s="6"/>
      <c r="K77" s="6"/>
      <c r="L77" s="6"/>
      <c r="M77" s="6"/>
      <c r="N77" s="6"/>
    </row>
    <row r="78" spans="1:14">
      <c r="A78" s="7"/>
      <c r="B78" s="6"/>
      <c r="C78" s="6"/>
      <c r="D78" s="6"/>
      <c r="E78" s="6"/>
      <c r="F78" s="9"/>
      <c r="G78" s="9"/>
      <c r="H78" s="8">
        <f>IF(COUNT(F78:G78)&lt;2,"",ROUND(F78-G78,3))</f>
        <v/>
      </c>
      <c r="I78" s="6"/>
      <c r="J78" s="6"/>
      <c r="K78" s="6"/>
      <c r="L78" s="6"/>
      <c r="M78" s="6"/>
      <c r="N78" s="6"/>
    </row>
    <row r="79" spans="1:14">
      <c r="A79" s="7"/>
      <c r="B79" s="6"/>
      <c r="C79" s="6"/>
      <c r="D79" s="6"/>
      <c r="E79" s="6"/>
      <c r="F79" s="9"/>
      <c r="G79" s="9"/>
      <c r="H79" s="8">
        <f>IF(COUNT(F79:G79)&lt;2,"",ROUND(F79-G79,3))</f>
        <v/>
      </c>
      <c r="I79" s="6"/>
      <c r="J79" s="6"/>
      <c r="K79" s="6"/>
      <c r="L79" s="6"/>
      <c r="M79" s="6"/>
      <c r="N79" s="6"/>
    </row>
    <row r="80" spans="1:14">
      <c r="A80" s="7"/>
      <c r="B80" s="6"/>
      <c r="C80" s="6"/>
      <c r="D80" s="6"/>
      <c r="E80" s="6"/>
      <c r="F80" s="9"/>
      <c r="G80" s="9"/>
      <c r="H80" s="8">
        <f>IF(COUNT(F80:G80)&lt;2,"",ROUND(F80-G80,3))</f>
        <v/>
      </c>
      <c r="I80" s="6"/>
      <c r="J80" s="6"/>
      <c r="K80" s="6"/>
      <c r="L80" s="6"/>
      <c r="M80" s="6"/>
      <c r="N80" s="6"/>
    </row>
    <row r="81" spans="1:14">
      <c r="A81" s="7"/>
      <c r="B81" s="6"/>
      <c r="C81" s="6"/>
      <c r="D81" s="6"/>
      <c r="E81" s="6"/>
      <c r="F81" s="9"/>
      <c r="G81" s="9"/>
      <c r="H81" s="8">
        <f>IF(COUNT(F81:G81)&lt;2,"",ROUND(F81-G81,3))</f>
        <v/>
      </c>
      <c r="I81" s="6"/>
      <c r="J81" s="6"/>
      <c r="K81" s="6"/>
      <c r="L81" s="6"/>
      <c r="M81" s="6"/>
      <c r="N81" s="6"/>
    </row>
    <row r="82" spans="1:14">
      <c r="A82" s="7"/>
      <c r="B82" s="6"/>
      <c r="C82" s="6"/>
      <c r="D82" s="6"/>
      <c r="E82" s="6"/>
      <c r="F82" s="9"/>
      <c r="G82" s="9"/>
      <c r="H82" s="8">
        <f>IF(COUNT(F82:G82)&lt;2,"",ROUND(F82-G82,3))</f>
        <v/>
      </c>
      <c r="I82" s="6"/>
      <c r="J82" s="6"/>
      <c r="K82" s="6"/>
      <c r="L82" s="6"/>
      <c r="M82" s="6"/>
      <c r="N82" s="6"/>
    </row>
    <row r="83" spans="1:14">
      <c r="A83" s="7"/>
      <c r="B83" s="6"/>
      <c r="C83" s="6"/>
      <c r="D83" s="6"/>
      <c r="E83" s="6"/>
      <c r="F83" s="9"/>
      <c r="G83" s="9"/>
      <c r="H83" s="8">
        <f>IF(COUNT(F83:G83)&lt;2,"",ROUND(F83-G83,3))</f>
        <v/>
      </c>
      <c r="I83" s="6"/>
      <c r="J83" s="6"/>
      <c r="K83" s="6"/>
      <c r="L83" s="6"/>
      <c r="M83" s="6"/>
      <c r="N83" s="6"/>
    </row>
    <row r="84" spans="1:14">
      <c r="A84" s="7"/>
      <c r="B84" s="6"/>
      <c r="C84" s="6"/>
      <c r="D84" s="6"/>
      <c r="E84" s="6"/>
      <c r="F84" s="9"/>
      <c r="G84" s="9"/>
      <c r="H84" s="8">
        <f>IF(COUNT(F84:G84)&lt;2,"",ROUND(F84-G84,3))</f>
        <v/>
      </c>
      <c r="I84" s="6"/>
      <c r="J84" s="6"/>
      <c r="K84" s="6"/>
      <c r="L84" s="6"/>
      <c r="M84" s="6"/>
      <c r="N84" s="6"/>
    </row>
    <row r="85" spans="1:14">
      <c r="A85" s="7"/>
      <c r="B85" s="6"/>
      <c r="C85" s="6"/>
      <c r="D85" s="6"/>
      <c r="E85" s="6"/>
      <c r="F85" s="9"/>
      <c r="G85" s="9"/>
      <c r="H85" s="8">
        <f>IF(COUNT(F85:G85)&lt;2,"",ROUND(F85-G85,3))</f>
        <v/>
      </c>
      <c r="I85" s="6"/>
      <c r="J85" s="6"/>
      <c r="K85" s="6"/>
      <c r="L85" s="6"/>
      <c r="M85" s="6"/>
      <c r="N85" s="6"/>
    </row>
    <row r="86" spans="1:14">
      <c r="A86" s="7"/>
      <c r="B86" s="6"/>
      <c r="C86" s="6"/>
      <c r="D86" s="6"/>
      <c r="E86" s="6"/>
      <c r="F86" s="9"/>
      <c r="G86" s="9"/>
      <c r="H86" s="8">
        <f>IF(COUNT(F86:G86)&lt;2,"",ROUND(F86-G86,3))</f>
        <v/>
      </c>
      <c r="I86" s="6"/>
      <c r="J86" s="6"/>
      <c r="K86" s="6"/>
      <c r="L86" s="6"/>
      <c r="M86" s="6"/>
      <c r="N86" s="6"/>
    </row>
    <row r="87" spans="1:14">
      <c r="A87" s="7"/>
      <c r="B87" s="6"/>
      <c r="C87" s="6"/>
      <c r="D87" s="6"/>
      <c r="E87" s="6"/>
      <c r="F87" s="9"/>
      <c r="G87" s="9"/>
      <c r="H87" s="8">
        <f>IF(COUNT(F87:G87)&lt;2,"",ROUND(F87-G87,3))</f>
        <v/>
      </c>
      <c r="I87" s="6"/>
      <c r="J87" s="6"/>
      <c r="K87" s="6"/>
      <c r="L87" s="6"/>
      <c r="M87" s="6"/>
      <c r="N87" s="6"/>
    </row>
    <row r="88" spans="1:14">
      <c r="A88" s="7"/>
      <c r="B88" s="6"/>
      <c r="C88" s="6"/>
      <c r="D88" s="6"/>
      <c r="E88" s="6"/>
      <c r="F88" s="9"/>
      <c r="G88" s="9"/>
      <c r="H88" s="8">
        <f>IF(COUNT(F88:G88)&lt;2,"",ROUND(F88-G88,3))</f>
        <v/>
      </c>
      <c r="I88" s="6"/>
      <c r="J88" s="6"/>
      <c r="K88" s="6"/>
      <c r="L88" s="6"/>
      <c r="M88" s="6"/>
      <c r="N88" s="6"/>
    </row>
    <row r="89" spans="1:14">
      <c r="A89" s="7"/>
      <c r="B89" s="6"/>
      <c r="C89" s="6"/>
      <c r="D89" s="6"/>
      <c r="E89" s="6"/>
      <c r="F89" s="9"/>
      <c r="G89" s="9"/>
      <c r="H89" s="8">
        <f>IF(COUNT(F89:G89)&lt;2,"",ROUND(F89-G89,3))</f>
        <v/>
      </c>
      <c r="I89" s="6"/>
      <c r="J89" s="6"/>
      <c r="K89" s="6"/>
      <c r="L89" s="6"/>
      <c r="M89" s="6"/>
      <c r="N89" s="6"/>
    </row>
    <row r="90" spans="1:14">
      <c r="A90" s="7"/>
      <c r="B90" s="6"/>
      <c r="C90" s="6"/>
      <c r="D90" s="6"/>
      <c r="E90" s="6"/>
      <c r="F90" s="9"/>
      <c r="G90" s="9"/>
      <c r="H90" s="8">
        <f>IF(COUNT(F90:G90)&lt;2,"",ROUND(F90-G90,3))</f>
        <v/>
      </c>
      <c r="I90" s="6"/>
      <c r="J90" s="6"/>
      <c r="K90" s="6"/>
      <c r="L90" s="6"/>
      <c r="M90" s="6"/>
      <c r="N90" s="6"/>
    </row>
    <row r="91" spans="1:14">
      <c r="A91" s="7"/>
      <c r="B91" s="6"/>
      <c r="C91" s="6"/>
      <c r="D91" s="6"/>
      <c r="E91" s="6"/>
      <c r="F91" s="9"/>
      <c r="G91" s="9"/>
      <c r="H91" s="8">
        <f>IF(COUNT(F91:G91)&lt;2,"",ROUND(F91-G91,3))</f>
        <v/>
      </c>
      <c r="I91" s="6"/>
      <c r="J91" s="6"/>
      <c r="K91" s="6"/>
      <c r="L91" s="6"/>
      <c r="M91" s="6"/>
      <c r="N91" s="6"/>
    </row>
    <row r="92" spans="1:14">
      <c r="A92" s="7"/>
      <c r="B92" s="6"/>
      <c r="C92" s="6"/>
      <c r="D92" s="6"/>
      <c r="E92" s="6"/>
      <c r="F92" s="9"/>
      <c r="G92" s="9"/>
      <c r="H92" s="8">
        <f>IF(COUNT(F92:G92)&lt;2,"",ROUND(F92-G92,3))</f>
        <v/>
      </c>
      <c r="I92" s="6"/>
      <c r="J92" s="6"/>
      <c r="K92" s="6"/>
      <c r="L92" s="6"/>
      <c r="M92" s="6"/>
      <c r="N92" s="6"/>
    </row>
    <row r="93" spans="1:14">
      <c r="A93" s="7"/>
      <c r="B93" s="6"/>
      <c r="C93" s="6"/>
      <c r="D93" s="6"/>
      <c r="E93" s="6"/>
      <c r="F93" s="9"/>
      <c r="G93" s="9"/>
      <c r="H93" s="8">
        <f>IF(COUNT(F93:G93)&lt;2,"",ROUND(F93-G93,3))</f>
        <v/>
      </c>
      <c r="I93" s="6"/>
      <c r="J93" s="6"/>
      <c r="K93" s="6"/>
      <c r="L93" s="6"/>
      <c r="M93" s="6"/>
      <c r="N93" s="6"/>
    </row>
    <row r="94" spans="1:14">
      <c r="A94" s="7"/>
      <c r="B94" s="6"/>
      <c r="C94" s="6"/>
      <c r="D94" s="6"/>
      <c r="E94" s="6"/>
      <c r="F94" s="9"/>
      <c r="G94" s="9"/>
      <c r="H94" s="8">
        <f>IF(COUNT(F94:G94)&lt;2,"",ROUND(F94-G94,3))</f>
        <v/>
      </c>
      <c r="I94" s="6"/>
      <c r="J94" s="6"/>
      <c r="K94" s="6"/>
      <c r="L94" s="6"/>
      <c r="M94" s="6"/>
      <c r="N94" s="6"/>
    </row>
    <row r="95" spans="1:14">
      <c r="A95" s="7"/>
      <c r="B95" s="6"/>
      <c r="C95" s="6"/>
      <c r="D95" s="6"/>
      <c r="E95" s="6"/>
      <c r="F95" s="9"/>
      <c r="G95" s="9"/>
      <c r="H95" s="8">
        <f>IF(COUNT(F95:G95)&lt;2,"",ROUND(F95-G95,3))</f>
        <v/>
      </c>
      <c r="I95" s="6"/>
      <c r="J95" s="6"/>
      <c r="K95" s="6"/>
      <c r="L95" s="6"/>
      <c r="M95" s="6"/>
      <c r="N95" s="6"/>
    </row>
    <row r="96" spans="1:14">
      <c r="A96" s="7"/>
      <c r="B96" s="6"/>
      <c r="C96" s="6"/>
      <c r="D96" s="6"/>
      <c r="E96" s="6"/>
      <c r="F96" s="9"/>
      <c r="G96" s="9"/>
      <c r="H96" s="8">
        <f>IF(COUNT(F96:G96)&lt;2,"",ROUND(F96-G96,3))</f>
        <v/>
      </c>
      <c r="I96" s="6"/>
      <c r="J96" s="6"/>
      <c r="K96" s="6"/>
      <c r="L96" s="6"/>
      <c r="M96" s="6"/>
      <c r="N96" s="6"/>
    </row>
    <row r="97" spans="1:14">
      <c r="A97" s="7"/>
      <c r="B97" s="6"/>
      <c r="C97" s="6"/>
      <c r="D97" s="6"/>
      <c r="E97" s="6"/>
      <c r="F97" s="9"/>
      <c r="G97" s="9"/>
      <c r="H97" s="8">
        <f>IF(COUNT(F97:G97)&lt;2,"",ROUND(F97-G97,3))</f>
        <v/>
      </c>
      <c r="I97" s="6"/>
      <c r="J97" s="6"/>
      <c r="K97" s="6"/>
      <c r="L97" s="6"/>
      <c r="M97" s="6"/>
      <c r="N97" s="6"/>
    </row>
    <row r="98" spans="1:14">
      <c r="A98" s="7"/>
      <c r="B98" s="6"/>
      <c r="C98" s="6"/>
      <c r="D98" s="6"/>
      <c r="E98" s="6"/>
      <c r="F98" s="9"/>
      <c r="G98" s="9"/>
      <c r="H98" s="8">
        <f>IF(COUNT(F98:G98)&lt;2,"",ROUND(F98-G98,3))</f>
        <v/>
      </c>
      <c r="I98" s="6"/>
      <c r="J98" s="6"/>
      <c r="K98" s="6"/>
      <c r="L98" s="6"/>
      <c r="M98" s="6"/>
      <c r="N98" s="6"/>
    </row>
    <row r="99" spans="1:14">
      <c r="A99" s="7"/>
      <c r="B99" s="6"/>
      <c r="C99" s="6"/>
      <c r="D99" s="6"/>
      <c r="E99" s="6"/>
      <c r="F99" s="9"/>
      <c r="G99" s="9"/>
      <c r="H99" s="8">
        <f>IF(COUNT(F99:G99)&lt;2,"",ROUND(F99-G99,3))</f>
        <v/>
      </c>
      <c r="I99" s="6"/>
      <c r="J99" s="6"/>
      <c r="K99" s="6"/>
      <c r="L99" s="6"/>
      <c r="M99" s="6"/>
      <c r="N99" s="6"/>
    </row>
    <row r="100" spans="1:14">
      <c r="A100" s="7"/>
      <c r="B100" s="6"/>
      <c r="C100" s="6"/>
      <c r="D100" s="6"/>
      <c r="E100" s="6"/>
      <c r="F100" s="9"/>
      <c r="G100" s="9"/>
      <c r="H100" s="8">
        <f>IF(COUNT(F100:G100)&lt;2,"",ROUND(F100-G100,3))</f>
        <v/>
      </c>
      <c r="I100" s="6"/>
      <c r="J100" s="6"/>
      <c r="K100" s="6"/>
      <c r="L100" s="6"/>
      <c r="M100" s="6"/>
      <c r="N100" s="6"/>
    </row>
    <row r="101" spans="1:14">
      <c r="A101" s="7"/>
      <c r="B101" s="6"/>
      <c r="C101" s="6"/>
      <c r="D101" s="6"/>
      <c r="E101" s="6"/>
      <c r="F101" s="9"/>
      <c r="G101" s="9"/>
      <c r="H101" s="8">
        <f>IF(COUNT(F101:G101)&lt;2,"",ROUND(F101-G101,3))</f>
        <v/>
      </c>
      <c r="I101" s="6"/>
      <c r="J101" s="6"/>
      <c r="K101" s="6"/>
      <c r="L101" s="6"/>
      <c r="M101" s="6"/>
      <c r="N101" s="6"/>
    </row>
    <row r="102" spans="1:14">
      <c r="A102" s="7"/>
      <c r="B102" s="6"/>
      <c r="C102" s="6"/>
      <c r="D102" s="6"/>
      <c r="E102" s="6"/>
      <c r="F102" s="9"/>
      <c r="G102" s="9"/>
      <c r="H102" s="8">
        <f>IF(COUNT(F102:G102)&lt;2,"",ROUND(F102-G102,3))</f>
        <v/>
      </c>
      <c r="I102" s="6"/>
      <c r="J102" s="6"/>
      <c r="K102" s="6"/>
      <c r="L102" s="6"/>
      <c r="M102" s="6"/>
      <c r="N102" s="6"/>
    </row>
    <row r="103" spans="1:14">
      <c r="A103" s="7"/>
      <c r="B103" s="6"/>
      <c r="C103" s="6"/>
      <c r="D103" s="6"/>
      <c r="E103" s="6"/>
      <c r="F103" s="9"/>
      <c r="G103" s="9"/>
      <c r="H103" s="8">
        <f>IF(COUNT(F103:G103)&lt;2,"",ROUND(F103-G103,3))</f>
        <v/>
      </c>
      <c r="I103" s="6"/>
      <c r="J103" s="6"/>
      <c r="K103" s="6"/>
      <c r="L103" s="6"/>
      <c r="M103" s="6"/>
      <c r="N103" s="6"/>
    </row>
    <row r="104" spans="1:14">
      <c r="A104" s="7"/>
      <c r="B104" s="6"/>
      <c r="C104" s="6"/>
      <c r="D104" s="6"/>
      <c r="E104" s="6"/>
      <c r="F104" s="9"/>
      <c r="G104" s="9"/>
      <c r="H104" s="8">
        <f>IF(COUNT(F104:G104)&lt;2,"",ROUND(F104-G104,3))</f>
        <v/>
      </c>
      <c r="I104" s="6"/>
      <c r="J104" s="6"/>
      <c r="K104" s="6"/>
      <c r="L104" s="6"/>
      <c r="M104" s="6"/>
      <c r="N104" s="6"/>
    </row>
    <row r="105" spans="1:14">
      <c r="A105" s="7"/>
      <c r="B105" s="6"/>
      <c r="C105" s="6"/>
      <c r="D105" s="6"/>
      <c r="E105" s="6"/>
      <c r="F105" s="9"/>
      <c r="G105" s="9"/>
      <c r="H105" s="8">
        <f>IF(COUNT(F105:G105)&lt;2,"",ROUND(F105-G105,3))</f>
        <v/>
      </c>
      <c r="I105" s="6"/>
      <c r="J105" s="6"/>
      <c r="K105" s="6"/>
      <c r="L105" s="6"/>
      <c r="M105" s="6"/>
      <c r="N105" s="6"/>
    </row>
  </sheetData>
  <mergeCells count="3">
    <mergeCell ref="A1:N1"/>
    <mergeCell ref="A2:N2"/>
    <mergeCell ref="A3:N3"/>
  </mergeCells>
  <conditionalFormatting sqref="A6:N105">
    <cfRule type="expression" dxfId="1" priority="7">
      <formula>AND($C6&lt;&gt;"",$I6="首次期初入库",$G6&gt;0)</formula>
    </cfRule>
  </conditionalFormatting>
  <conditionalFormatting sqref="H6:H105">
    <cfRule type="expression" dxfId="1" priority="8">
      <formula>AND(ISNUMBER($H6),$H6&lt;&gt;0)</formula>
    </cfRule>
  </conditionalFormatting>
  <conditionalFormatting sqref="M6:M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9">
    <dataValidation type="date" allowBlank="1" showInputMessage="1" showErrorMessage="1" prompt="填真实切账业务日期，不自动用今天日期。" sqref="A6:A105">
      <formula1>36526</formula1>
      <formula2>73415</formula2>
    </dataValidation>
    <dataValidation type="list" allowBlank="1" showInputMessage="1" showErrorMessage="1" errorTitle="请选择下拉项" error="请从下拉列表选择，不要自行修改选项文字。" sqref="B6:B105">
      <formula1>item_kind</formula1>
    </dataValidation>
    <dataValidation type="textLength" operator="lessThanOrEqual" allowBlank="1" showInputMessage="1" showErrorMessage="1" errorTitle="内容过长" error="最多100个字符。" sqref="C6:C105">
      <formula1>100</formula1>
    </dataValidation>
    <dataValidation type="textLength" operator="lessThanOrEqual" allowBlank="1" showInputMessage="1" showErrorMessage="1" errorTitle="内容过长" error="最多200个字符。" sqref="D6:D105">
      <formula1>200</formula1>
    </dataValidation>
    <dataValidation type="textLength" operator="lessThanOrEqual" allowBlank="1" showInputMessage="1" showErrorMessage="1" errorTitle="内容过长" error="最多16个字符。" sqref="E6:E105">
      <formula1>16</formula1>
    </dataValidation>
    <dataValidation type="custom" allowBlank="1" showInputMessage="1" showErrorMessage="1" errorTitle="数量格式不正确" error="盘点可填0；包装/箱用整数，公斤最多3位小数。不能填负数。" sqref="F6:F105">
      <formula1>OR(F6="",AND(ISNUMBER(F6),F6&gt;=0,IF(OR($B6="包装",$E6="箱"),F6=INT(F6),ROUND(F6,3)=F6)))</formula1>
    </dataValidation>
    <dataValidation type="custom" allowBlank="1" showInputMessage="1" showErrorMessage="1" errorTitle="数量格式不正确" error="盘点可填0；包装/箱用整数，公斤最多3位小数。不能填负数。" sqref="G6:G105">
      <formula1>OR(G6="",AND(ISNUMBER(G6),G6&gt;=0,IF(OR($B6="包装",$E6="箱"),G6=INT(G6),ROUND(G6,3)=G6)))</formula1>
    </dataValidation>
    <dataValidation type="list" allowBlank="1" showInputMessage="1" showErrorMessage="1" errorTitle="请选择下拉项" error="请从下拉列表选择，不要自行修改选项文字。" sqref="I6:I105">
      <formula1>stock_action</formula1>
    </dataValidation>
    <dataValidation type="list" allowBlank="1" showInputMessage="1" showErrorMessage="1" errorTitle="请选择下拉项" error="请从下拉列表选择，不要自行修改选项文字。" sqref="M6:M105">
      <formula1>stock_status</formula1>
    </dataValidation>
  </dataValidations>
  <hyperlinks>
    <hyperlink ref="A4" r:id="rId1"/>
  </hyperlinks>
  <pageMargins left="0.3" right="0.3" top="0.4" bottom="0.4" header="0.3" footer="0.3"/>
  <pageSetup paperSize="8" fitToHeight="0" orientation="landscape"/>
  <headerFooter>
    <oddFooter>&amp;L棚户记账 · 基础数据维护1.2.2&amp;R第 &amp;P 页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O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2.7109375" style="6" customWidth="1"/>
    <col min="2" max="2" width="18.7109375" style="6" customWidth="1"/>
    <col min="3" max="3" width="17.7109375" style="7" customWidth="1"/>
    <col min="4" max="4" width="23.7109375" style="6" customWidth="1"/>
    <col min="5" max="5" width="12.7109375" style="6" customWidth="1"/>
    <col min="6" max="9" width="22.7109375" style="9" customWidth="1"/>
    <col min="10" max="10" width="45.7109375" style="6" customWidth="1"/>
    <col min="11" max="11" width="42.7109375" style="6" customWidth="1"/>
    <col min="12" max="12" width="29.7109375" style="6" customWidth="1"/>
    <col min="13" max="14" width="17.7109375" style="6" customWidth="1"/>
    <col min="15" max="15" width="44.7109375" style="6" customWidth="1"/>
  </cols>
  <sheetData>
    <row r="1" spans="1:15" ht="36" customHeight="1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42" customHeight="1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8" customHeight="1">
      <c r="A3" s="2" t="s">
        <v>219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5" t="s">
        <v>172</v>
      </c>
    </row>
    <row r="5" spans="1:15" ht="44" customHeight="1">
      <c r="A5" s="3" t="s">
        <v>106</v>
      </c>
      <c r="B5" s="3" t="s">
        <v>220</v>
      </c>
      <c r="C5" s="3" t="s">
        <v>221</v>
      </c>
      <c r="D5" s="3" t="s">
        <v>222</v>
      </c>
      <c r="E5" s="3" t="s">
        <v>223</v>
      </c>
      <c r="F5" s="3" t="s">
        <v>224</v>
      </c>
      <c r="G5" s="3" t="s">
        <v>225</v>
      </c>
      <c r="H5" s="3" t="s">
        <v>226</v>
      </c>
      <c r="I5" s="3" t="s">
        <v>227</v>
      </c>
      <c r="J5" s="3" t="s">
        <v>228</v>
      </c>
      <c r="K5" s="3" t="s">
        <v>229</v>
      </c>
      <c r="L5" s="3" t="s">
        <v>230</v>
      </c>
      <c r="M5" s="3" t="s">
        <v>85</v>
      </c>
      <c r="N5" s="3" t="s">
        <v>231</v>
      </c>
      <c r="O5" s="3" t="s">
        <v>88</v>
      </c>
    </row>
    <row r="6" spans="1:15">
      <c r="A6" s="6"/>
      <c r="B6" s="6"/>
      <c r="C6" s="7"/>
      <c r="D6" s="6"/>
      <c r="E6" s="6"/>
      <c r="F6" s="9"/>
      <c r="G6" s="9"/>
      <c r="H6" s="9"/>
      <c r="I6" s="9"/>
      <c r="J6" s="6"/>
      <c r="K6" s="6"/>
      <c r="L6" s="6"/>
      <c r="M6" s="6"/>
      <c r="N6" s="6"/>
      <c r="O6" s="6"/>
    </row>
    <row r="7" spans="1:15">
      <c r="A7" s="6"/>
      <c r="B7" s="6"/>
      <c r="C7" s="7"/>
      <c r="D7" s="6"/>
      <c r="E7" s="6"/>
      <c r="F7" s="9"/>
      <c r="G7" s="9"/>
      <c r="H7" s="9"/>
      <c r="I7" s="9"/>
      <c r="J7" s="6"/>
      <c r="K7" s="6"/>
      <c r="L7" s="6"/>
      <c r="M7" s="6"/>
      <c r="N7" s="6"/>
      <c r="O7" s="6"/>
    </row>
    <row r="8" spans="1:15">
      <c r="A8" s="6"/>
      <c r="B8" s="6"/>
      <c r="C8" s="7"/>
      <c r="D8" s="6"/>
      <c r="E8" s="6"/>
      <c r="F8" s="9"/>
      <c r="G8" s="9"/>
      <c r="H8" s="9"/>
      <c r="I8" s="9"/>
      <c r="J8" s="6"/>
      <c r="K8" s="6"/>
      <c r="L8" s="6"/>
      <c r="M8" s="6"/>
      <c r="N8" s="6"/>
      <c r="O8" s="6"/>
    </row>
    <row r="9" spans="1:15">
      <c r="A9" s="6"/>
      <c r="B9" s="6"/>
      <c r="C9" s="7"/>
      <c r="D9" s="6"/>
      <c r="E9" s="6"/>
      <c r="F9" s="9"/>
      <c r="G9" s="9"/>
      <c r="H9" s="9"/>
      <c r="I9" s="9"/>
      <c r="J9" s="6"/>
      <c r="K9" s="6"/>
      <c r="L9" s="6"/>
      <c r="M9" s="6"/>
      <c r="N9" s="6"/>
      <c r="O9" s="6"/>
    </row>
    <row r="10" spans="1:15">
      <c r="A10" s="6"/>
      <c r="B10" s="6"/>
      <c r="C10" s="7"/>
      <c r="D10" s="6"/>
      <c r="E10" s="6"/>
      <c r="F10" s="9"/>
      <c r="G10" s="9"/>
      <c r="H10" s="9"/>
      <c r="I10" s="9"/>
      <c r="J10" s="6"/>
      <c r="K10" s="6"/>
      <c r="L10" s="6"/>
      <c r="M10" s="6"/>
      <c r="N10" s="6"/>
      <c r="O10" s="6"/>
    </row>
    <row r="11" spans="1:15">
      <c r="A11" s="6"/>
      <c r="B11" s="6"/>
      <c r="C11" s="7"/>
      <c r="D11" s="6"/>
      <c r="E11" s="6"/>
      <c r="F11" s="9"/>
      <c r="G11" s="9"/>
      <c r="H11" s="9"/>
      <c r="I11" s="9"/>
      <c r="J11" s="6"/>
      <c r="K11" s="6"/>
      <c r="L11" s="6"/>
      <c r="M11" s="6"/>
      <c r="N11" s="6"/>
      <c r="O11" s="6"/>
    </row>
    <row r="12" spans="1:15">
      <c r="A12" s="6"/>
      <c r="B12" s="6"/>
      <c r="C12" s="7"/>
      <c r="D12" s="6"/>
      <c r="E12" s="6"/>
      <c r="F12" s="9"/>
      <c r="G12" s="9"/>
      <c r="H12" s="9"/>
      <c r="I12" s="9"/>
      <c r="J12" s="6"/>
      <c r="K12" s="6"/>
      <c r="L12" s="6"/>
      <c r="M12" s="6"/>
      <c r="N12" s="6"/>
      <c r="O12" s="6"/>
    </row>
    <row r="13" spans="1:15">
      <c r="A13" s="6"/>
      <c r="B13" s="6"/>
      <c r="C13" s="7"/>
      <c r="D13" s="6"/>
      <c r="E13" s="6"/>
      <c r="F13" s="9"/>
      <c r="G13" s="9"/>
      <c r="H13" s="9"/>
      <c r="I13" s="9"/>
      <c r="J13" s="6"/>
      <c r="K13" s="6"/>
      <c r="L13" s="6"/>
      <c r="M13" s="6"/>
      <c r="N13" s="6"/>
      <c r="O13" s="6"/>
    </row>
    <row r="14" spans="1:15">
      <c r="A14" s="6"/>
      <c r="B14" s="6"/>
      <c r="C14" s="7"/>
      <c r="D14" s="6"/>
      <c r="E14" s="6"/>
      <c r="F14" s="9"/>
      <c r="G14" s="9"/>
      <c r="H14" s="9"/>
      <c r="I14" s="9"/>
      <c r="J14" s="6"/>
      <c r="K14" s="6"/>
      <c r="L14" s="6"/>
      <c r="M14" s="6"/>
      <c r="N14" s="6"/>
      <c r="O14" s="6"/>
    </row>
    <row r="15" spans="1:15">
      <c r="A15" s="6"/>
      <c r="B15" s="6"/>
      <c r="C15" s="7"/>
      <c r="D15" s="6"/>
      <c r="E15" s="6"/>
      <c r="F15" s="9"/>
      <c r="G15" s="9"/>
      <c r="H15" s="9"/>
      <c r="I15" s="9"/>
      <c r="J15" s="6"/>
      <c r="K15" s="6"/>
      <c r="L15" s="6"/>
      <c r="M15" s="6"/>
      <c r="N15" s="6"/>
      <c r="O15" s="6"/>
    </row>
    <row r="16" spans="1:15">
      <c r="A16" s="6"/>
      <c r="B16" s="6"/>
      <c r="C16" s="7"/>
      <c r="D16" s="6"/>
      <c r="E16" s="6"/>
      <c r="F16" s="9"/>
      <c r="G16" s="9"/>
      <c r="H16" s="9"/>
      <c r="I16" s="9"/>
      <c r="J16" s="6"/>
      <c r="K16" s="6"/>
      <c r="L16" s="6"/>
      <c r="M16" s="6"/>
      <c r="N16" s="6"/>
      <c r="O16" s="6"/>
    </row>
    <row r="17" spans="1:15">
      <c r="A17" s="6"/>
      <c r="B17" s="6"/>
      <c r="C17" s="7"/>
      <c r="D17" s="6"/>
      <c r="E17" s="6"/>
      <c r="F17" s="9"/>
      <c r="G17" s="9"/>
      <c r="H17" s="9"/>
      <c r="I17" s="9"/>
      <c r="J17" s="6"/>
      <c r="K17" s="6"/>
      <c r="L17" s="6"/>
      <c r="M17" s="6"/>
      <c r="N17" s="6"/>
      <c r="O17" s="6"/>
    </row>
    <row r="18" spans="1:15">
      <c r="A18" s="6"/>
      <c r="B18" s="6"/>
      <c r="C18" s="7"/>
      <c r="D18" s="6"/>
      <c r="E18" s="6"/>
      <c r="F18" s="9"/>
      <c r="G18" s="9"/>
      <c r="H18" s="9"/>
      <c r="I18" s="9"/>
      <c r="J18" s="6"/>
      <c r="K18" s="6"/>
      <c r="L18" s="6"/>
      <c r="M18" s="6"/>
      <c r="N18" s="6"/>
      <c r="O18" s="6"/>
    </row>
    <row r="19" spans="1:15">
      <c r="A19" s="6"/>
      <c r="B19" s="6"/>
      <c r="C19" s="7"/>
      <c r="D19" s="6"/>
      <c r="E19" s="6"/>
      <c r="F19" s="9"/>
      <c r="G19" s="9"/>
      <c r="H19" s="9"/>
      <c r="I19" s="9"/>
      <c r="J19" s="6"/>
      <c r="K19" s="6"/>
      <c r="L19" s="6"/>
      <c r="M19" s="6"/>
      <c r="N19" s="6"/>
      <c r="O19" s="6"/>
    </row>
    <row r="20" spans="1:15">
      <c r="A20" s="6"/>
      <c r="B20" s="6"/>
      <c r="C20" s="7"/>
      <c r="D20" s="6"/>
      <c r="E20" s="6"/>
      <c r="F20" s="9"/>
      <c r="G20" s="9"/>
      <c r="H20" s="9"/>
      <c r="I20" s="9"/>
      <c r="J20" s="6"/>
      <c r="K20" s="6"/>
      <c r="L20" s="6"/>
      <c r="M20" s="6"/>
      <c r="N20" s="6"/>
      <c r="O20" s="6"/>
    </row>
    <row r="21" spans="1:15">
      <c r="A21" s="6"/>
      <c r="B21" s="6"/>
      <c r="C21" s="7"/>
      <c r="D21" s="6"/>
      <c r="E21" s="6"/>
      <c r="F21" s="9"/>
      <c r="G21" s="9"/>
      <c r="H21" s="9"/>
      <c r="I21" s="9"/>
      <c r="J21" s="6"/>
      <c r="K21" s="6"/>
      <c r="L21" s="6"/>
      <c r="M21" s="6"/>
      <c r="N21" s="6"/>
      <c r="O21" s="6"/>
    </row>
    <row r="22" spans="1:15">
      <c r="A22" s="6"/>
      <c r="B22" s="6"/>
      <c r="C22" s="7"/>
      <c r="D22" s="6"/>
      <c r="E22" s="6"/>
      <c r="F22" s="9"/>
      <c r="G22" s="9"/>
      <c r="H22" s="9"/>
      <c r="I22" s="9"/>
      <c r="J22" s="6"/>
      <c r="K22" s="6"/>
      <c r="L22" s="6"/>
      <c r="M22" s="6"/>
      <c r="N22" s="6"/>
      <c r="O22" s="6"/>
    </row>
    <row r="23" spans="1:15">
      <c r="A23" s="6"/>
      <c r="B23" s="6"/>
      <c r="C23" s="7"/>
      <c r="D23" s="6"/>
      <c r="E23" s="6"/>
      <c r="F23" s="9"/>
      <c r="G23" s="9"/>
      <c r="H23" s="9"/>
      <c r="I23" s="9"/>
      <c r="J23" s="6"/>
      <c r="K23" s="6"/>
      <c r="L23" s="6"/>
      <c r="M23" s="6"/>
      <c r="N23" s="6"/>
      <c r="O23" s="6"/>
    </row>
    <row r="24" spans="1:15">
      <c r="A24" s="6"/>
      <c r="B24" s="6"/>
      <c r="C24" s="7"/>
      <c r="D24" s="6"/>
      <c r="E24" s="6"/>
      <c r="F24" s="9"/>
      <c r="G24" s="9"/>
      <c r="H24" s="9"/>
      <c r="I24" s="9"/>
      <c r="J24" s="6"/>
      <c r="K24" s="6"/>
      <c r="L24" s="6"/>
      <c r="M24" s="6"/>
      <c r="N24" s="6"/>
      <c r="O24" s="6"/>
    </row>
    <row r="25" spans="1:15">
      <c r="A25" s="6"/>
      <c r="B25" s="6"/>
      <c r="C25" s="7"/>
      <c r="D25" s="6"/>
      <c r="E25" s="6"/>
      <c r="F25" s="9"/>
      <c r="G25" s="9"/>
      <c r="H25" s="9"/>
      <c r="I25" s="9"/>
      <c r="J25" s="6"/>
      <c r="K25" s="6"/>
      <c r="L25" s="6"/>
      <c r="M25" s="6"/>
      <c r="N25" s="6"/>
      <c r="O25" s="6"/>
    </row>
    <row r="26" spans="1:15">
      <c r="A26" s="6"/>
      <c r="B26" s="6"/>
      <c r="C26" s="7"/>
      <c r="D26" s="6"/>
      <c r="E26" s="6"/>
      <c r="F26" s="9"/>
      <c r="G26" s="9"/>
      <c r="H26" s="9"/>
      <c r="I26" s="9"/>
      <c r="J26" s="6"/>
      <c r="K26" s="6"/>
      <c r="L26" s="6"/>
      <c r="M26" s="6"/>
      <c r="N26" s="6"/>
      <c r="O26" s="6"/>
    </row>
    <row r="27" spans="1:15">
      <c r="A27" s="6"/>
      <c r="B27" s="6"/>
      <c r="C27" s="7"/>
      <c r="D27" s="6"/>
      <c r="E27" s="6"/>
      <c r="F27" s="9"/>
      <c r="G27" s="9"/>
      <c r="H27" s="9"/>
      <c r="I27" s="9"/>
      <c r="J27" s="6"/>
      <c r="K27" s="6"/>
      <c r="L27" s="6"/>
      <c r="M27" s="6"/>
      <c r="N27" s="6"/>
      <c r="O27" s="6"/>
    </row>
    <row r="28" spans="1:15">
      <c r="A28" s="6"/>
      <c r="B28" s="6"/>
      <c r="C28" s="7"/>
      <c r="D28" s="6"/>
      <c r="E28" s="6"/>
      <c r="F28" s="9"/>
      <c r="G28" s="9"/>
      <c r="H28" s="9"/>
      <c r="I28" s="9"/>
      <c r="J28" s="6"/>
      <c r="K28" s="6"/>
      <c r="L28" s="6"/>
      <c r="M28" s="6"/>
      <c r="N28" s="6"/>
      <c r="O28" s="6"/>
    </row>
    <row r="29" spans="1:15">
      <c r="A29" s="6"/>
      <c r="B29" s="6"/>
      <c r="C29" s="7"/>
      <c r="D29" s="6"/>
      <c r="E29" s="6"/>
      <c r="F29" s="9"/>
      <c r="G29" s="9"/>
      <c r="H29" s="9"/>
      <c r="I29" s="9"/>
      <c r="J29" s="6"/>
      <c r="K29" s="6"/>
      <c r="L29" s="6"/>
      <c r="M29" s="6"/>
      <c r="N29" s="6"/>
      <c r="O29" s="6"/>
    </row>
    <row r="30" spans="1:15">
      <c r="A30" s="6"/>
      <c r="B30" s="6"/>
      <c r="C30" s="7"/>
      <c r="D30" s="6"/>
      <c r="E30" s="6"/>
      <c r="F30" s="9"/>
      <c r="G30" s="9"/>
      <c r="H30" s="9"/>
      <c r="I30" s="9"/>
      <c r="J30" s="6"/>
      <c r="K30" s="6"/>
      <c r="L30" s="6"/>
      <c r="M30" s="6"/>
      <c r="N30" s="6"/>
      <c r="O30" s="6"/>
    </row>
    <row r="31" spans="1:15">
      <c r="A31" s="6"/>
      <c r="B31" s="6"/>
      <c r="C31" s="7"/>
      <c r="D31" s="6"/>
      <c r="E31" s="6"/>
      <c r="F31" s="9"/>
      <c r="G31" s="9"/>
      <c r="H31" s="9"/>
      <c r="I31" s="9"/>
      <c r="J31" s="6"/>
      <c r="K31" s="6"/>
      <c r="L31" s="6"/>
      <c r="M31" s="6"/>
      <c r="N31" s="6"/>
      <c r="O31" s="6"/>
    </row>
    <row r="32" spans="1:15">
      <c r="A32" s="6"/>
      <c r="B32" s="6"/>
      <c r="C32" s="7"/>
      <c r="D32" s="6"/>
      <c r="E32" s="6"/>
      <c r="F32" s="9"/>
      <c r="G32" s="9"/>
      <c r="H32" s="9"/>
      <c r="I32" s="9"/>
      <c r="J32" s="6"/>
      <c r="K32" s="6"/>
      <c r="L32" s="6"/>
      <c r="M32" s="6"/>
      <c r="N32" s="6"/>
      <c r="O32" s="6"/>
    </row>
    <row r="33" spans="1:15">
      <c r="A33" s="6"/>
      <c r="B33" s="6"/>
      <c r="C33" s="7"/>
      <c r="D33" s="6"/>
      <c r="E33" s="6"/>
      <c r="F33" s="9"/>
      <c r="G33" s="9"/>
      <c r="H33" s="9"/>
      <c r="I33" s="9"/>
      <c r="J33" s="6"/>
      <c r="K33" s="6"/>
      <c r="L33" s="6"/>
      <c r="M33" s="6"/>
      <c r="N33" s="6"/>
      <c r="O33" s="6"/>
    </row>
    <row r="34" spans="1:15">
      <c r="A34" s="6"/>
      <c r="B34" s="6"/>
      <c r="C34" s="7"/>
      <c r="D34" s="6"/>
      <c r="E34" s="6"/>
      <c r="F34" s="9"/>
      <c r="G34" s="9"/>
      <c r="H34" s="9"/>
      <c r="I34" s="9"/>
      <c r="J34" s="6"/>
      <c r="K34" s="6"/>
      <c r="L34" s="6"/>
      <c r="M34" s="6"/>
      <c r="N34" s="6"/>
      <c r="O34" s="6"/>
    </row>
    <row r="35" spans="1:15">
      <c r="A35" s="6"/>
      <c r="B35" s="6"/>
      <c r="C35" s="7"/>
      <c r="D35" s="6"/>
      <c r="E35" s="6"/>
      <c r="F35" s="9"/>
      <c r="G35" s="9"/>
      <c r="H35" s="9"/>
      <c r="I35" s="9"/>
      <c r="J35" s="6"/>
      <c r="K35" s="6"/>
      <c r="L35" s="6"/>
      <c r="M35" s="6"/>
      <c r="N35" s="6"/>
      <c r="O35" s="6"/>
    </row>
    <row r="36" spans="1:15">
      <c r="A36" s="6"/>
      <c r="B36" s="6"/>
      <c r="C36" s="7"/>
      <c r="D36" s="6"/>
      <c r="E36" s="6"/>
      <c r="F36" s="9"/>
      <c r="G36" s="9"/>
      <c r="H36" s="9"/>
      <c r="I36" s="9"/>
      <c r="J36" s="6"/>
      <c r="K36" s="6"/>
      <c r="L36" s="6"/>
      <c r="M36" s="6"/>
      <c r="N36" s="6"/>
      <c r="O36" s="6"/>
    </row>
    <row r="37" spans="1:15">
      <c r="A37" s="6"/>
      <c r="B37" s="6"/>
      <c r="C37" s="7"/>
      <c r="D37" s="6"/>
      <c r="E37" s="6"/>
      <c r="F37" s="9"/>
      <c r="G37" s="9"/>
      <c r="H37" s="9"/>
      <c r="I37" s="9"/>
      <c r="J37" s="6"/>
      <c r="K37" s="6"/>
      <c r="L37" s="6"/>
      <c r="M37" s="6"/>
      <c r="N37" s="6"/>
      <c r="O37" s="6"/>
    </row>
    <row r="38" spans="1:15">
      <c r="A38" s="6"/>
      <c r="B38" s="6"/>
      <c r="C38" s="7"/>
      <c r="D38" s="6"/>
      <c r="E38" s="6"/>
      <c r="F38" s="9"/>
      <c r="G38" s="9"/>
      <c r="H38" s="9"/>
      <c r="I38" s="9"/>
      <c r="J38" s="6"/>
      <c r="K38" s="6"/>
      <c r="L38" s="6"/>
      <c r="M38" s="6"/>
      <c r="N38" s="6"/>
      <c r="O38" s="6"/>
    </row>
    <row r="39" spans="1:15">
      <c r="A39" s="6"/>
      <c r="B39" s="6"/>
      <c r="C39" s="7"/>
      <c r="D39" s="6"/>
      <c r="E39" s="6"/>
      <c r="F39" s="9"/>
      <c r="G39" s="9"/>
      <c r="H39" s="9"/>
      <c r="I39" s="9"/>
      <c r="J39" s="6"/>
      <c r="K39" s="6"/>
      <c r="L39" s="6"/>
      <c r="M39" s="6"/>
      <c r="N39" s="6"/>
      <c r="O39" s="6"/>
    </row>
    <row r="40" spans="1:15">
      <c r="A40" s="6"/>
      <c r="B40" s="6"/>
      <c r="C40" s="7"/>
      <c r="D40" s="6"/>
      <c r="E40" s="6"/>
      <c r="F40" s="9"/>
      <c r="G40" s="9"/>
      <c r="H40" s="9"/>
      <c r="I40" s="9"/>
      <c r="J40" s="6"/>
      <c r="K40" s="6"/>
      <c r="L40" s="6"/>
      <c r="M40" s="6"/>
      <c r="N40" s="6"/>
      <c r="O40" s="6"/>
    </row>
    <row r="41" spans="1:15">
      <c r="A41" s="6"/>
      <c r="B41" s="6"/>
      <c r="C41" s="7"/>
      <c r="D41" s="6"/>
      <c r="E41" s="6"/>
      <c r="F41" s="9"/>
      <c r="G41" s="9"/>
      <c r="H41" s="9"/>
      <c r="I41" s="9"/>
      <c r="J41" s="6"/>
      <c r="K41" s="6"/>
      <c r="L41" s="6"/>
      <c r="M41" s="6"/>
      <c r="N41" s="6"/>
      <c r="O41" s="6"/>
    </row>
    <row r="42" spans="1:15">
      <c r="A42" s="6"/>
      <c r="B42" s="6"/>
      <c r="C42" s="7"/>
      <c r="D42" s="6"/>
      <c r="E42" s="6"/>
      <c r="F42" s="9"/>
      <c r="G42" s="9"/>
      <c r="H42" s="9"/>
      <c r="I42" s="9"/>
      <c r="J42" s="6"/>
      <c r="K42" s="6"/>
      <c r="L42" s="6"/>
      <c r="M42" s="6"/>
      <c r="N42" s="6"/>
      <c r="O42" s="6"/>
    </row>
    <row r="43" spans="1:15">
      <c r="A43" s="6"/>
      <c r="B43" s="6"/>
      <c r="C43" s="7"/>
      <c r="D43" s="6"/>
      <c r="E43" s="6"/>
      <c r="F43" s="9"/>
      <c r="G43" s="9"/>
      <c r="H43" s="9"/>
      <c r="I43" s="9"/>
      <c r="J43" s="6"/>
      <c r="K43" s="6"/>
      <c r="L43" s="6"/>
      <c r="M43" s="6"/>
      <c r="N43" s="6"/>
      <c r="O43" s="6"/>
    </row>
    <row r="44" spans="1:15">
      <c r="A44" s="6"/>
      <c r="B44" s="6"/>
      <c r="C44" s="7"/>
      <c r="D44" s="6"/>
      <c r="E44" s="6"/>
      <c r="F44" s="9"/>
      <c r="G44" s="9"/>
      <c r="H44" s="9"/>
      <c r="I44" s="9"/>
      <c r="J44" s="6"/>
      <c r="K44" s="6"/>
      <c r="L44" s="6"/>
      <c r="M44" s="6"/>
      <c r="N44" s="6"/>
      <c r="O44" s="6"/>
    </row>
    <row r="45" spans="1:15">
      <c r="A45" s="6"/>
      <c r="B45" s="6"/>
      <c r="C45" s="7"/>
      <c r="D45" s="6"/>
      <c r="E45" s="6"/>
      <c r="F45" s="9"/>
      <c r="G45" s="9"/>
      <c r="H45" s="9"/>
      <c r="I45" s="9"/>
      <c r="J45" s="6"/>
      <c r="K45" s="6"/>
      <c r="L45" s="6"/>
      <c r="M45" s="6"/>
      <c r="N45" s="6"/>
      <c r="O45" s="6"/>
    </row>
    <row r="46" spans="1:15">
      <c r="A46" s="6"/>
      <c r="B46" s="6"/>
      <c r="C46" s="7"/>
      <c r="D46" s="6"/>
      <c r="E46" s="6"/>
      <c r="F46" s="9"/>
      <c r="G46" s="9"/>
      <c r="H46" s="9"/>
      <c r="I46" s="9"/>
      <c r="J46" s="6"/>
      <c r="K46" s="6"/>
      <c r="L46" s="6"/>
      <c r="M46" s="6"/>
      <c r="N46" s="6"/>
      <c r="O46" s="6"/>
    </row>
    <row r="47" spans="1:15">
      <c r="A47" s="6"/>
      <c r="B47" s="6"/>
      <c r="C47" s="7"/>
      <c r="D47" s="6"/>
      <c r="E47" s="6"/>
      <c r="F47" s="9"/>
      <c r="G47" s="9"/>
      <c r="H47" s="9"/>
      <c r="I47" s="9"/>
      <c r="J47" s="6"/>
      <c r="K47" s="6"/>
      <c r="L47" s="6"/>
      <c r="M47" s="6"/>
      <c r="N47" s="6"/>
      <c r="O47" s="6"/>
    </row>
    <row r="48" spans="1:15">
      <c r="A48" s="6"/>
      <c r="B48" s="6"/>
      <c r="C48" s="7"/>
      <c r="D48" s="6"/>
      <c r="E48" s="6"/>
      <c r="F48" s="9"/>
      <c r="G48" s="9"/>
      <c r="H48" s="9"/>
      <c r="I48" s="9"/>
      <c r="J48" s="6"/>
      <c r="K48" s="6"/>
      <c r="L48" s="6"/>
      <c r="M48" s="6"/>
      <c r="N48" s="6"/>
      <c r="O48" s="6"/>
    </row>
    <row r="49" spans="1:15">
      <c r="A49" s="6"/>
      <c r="B49" s="6"/>
      <c r="C49" s="7"/>
      <c r="D49" s="6"/>
      <c r="E49" s="6"/>
      <c r="F49" s="9"/>
      <c r="G49" s="9"/>
      <c r="H49" s="9"/>
      <c r="I49" s="9"/>
      <c r="J49" s="6"/>
      <c r="K49" s="6"/>
      <c r="L49" s="6"/>
      <c r="M49" s="6"/>
      <c r="N49" s="6"/>
      <c r="O49" s="6"/>
    </row>
    <row r="50" spans="1:15">
      <c r="A50" s="6"/>
      <c r="B50" s="6"/>
      <c r="C50" s="7"/>
      <c r="D50" s="6"/>
      <c r="E50" s="6"/>
      <c r="F50" s="9"/>
      <c r="G50" s="9"/>
      <c r="H50" s="9"/>
      <c r="I50" s="9"/>
      <c r="J50" s="6"/>
      <c r="K50" s="6"/>
      <c r="L50" s="6"/>
      <c r="M50" s="6"/>
      <c r="N50" s="6"/>
      <c r="O50" s="6"/>
    </row>
    <row r="51" spans="1:15">
      <c r="A51" s="6"/>
      <c r="B51" s="6"/>
      <c r="C51" s="7"/>
      <c r="D51" s="6"/>
      <c r="E51" s="6"/>
      <c r="F51" s="9"/>
      <c r="G51" s="9"/>
      <c r="H51" s="9"/>
      <c r="I51" s="9"/>
      <c r="J51" s="6"/>
      <c r="K51" s="6"/>
      <c r="L51" s="6"/>
      <c r="M51" s="6"/>
      <c r="N51" s="6"/>
      <c r="O51" s="6"/>
    </row>
    <row r="52" spans="1:15">
      <c r="A52" s="6"/>
      <c r="B52" s="6"/>
      <c r="C52" s="7"/>
      <c r="D52" s="6"/>
      <c r="E52" s="6"/>
      <c r="F52" s="9"/>
      <c r="G52" s="9"/>
      <c r="H52" s="9"/>
      <c r="I52" s="9"/>
      <c r="J52" s="6"/>
      <c r="K52" s="6"/>
      <c r="L52" s="6"/>
      <c r="M52" s="6"/>
      <c r="N52" s="6"/>
      <c r="O52" s="6"/>
    </row>
    <row r="53" spans="1:15">
      <c r="A53" s="6"/>
      <c r="B53" s="6"/>
      <c r="C53" s="7"/>
      <c r="D53" s="6"/>
      <c r="E53" s="6"/>
      <c r="F53" s="9"/>
      <c r="G53" s="9"/>
      <c r="H53" s="9"/>
      <c r="I53" s="9"/>
      <c r="J53" s="6"/>
      <c r="K53" s="6"/>
      <c r="L53" s="6"/>
      <c r="M53" s="6"/>
      <c r="N53" s="6"/>
      <c r="O53" s="6"/>
    </row>
    <row r="54" spans="1:15">
      <c r="A54" s="6"/>
      <c r="B54" s="6"/>
      <c r="C54" s="7"/>
      <c r="D54" s="6"/>
      <c r="E54" s="6"/>
      <c r="F54" s="9"/>
      <c r="G54" s="9"/>
      <c r="H54" s="9"/>
      <c r="I54" s="9"/>
      <c r="J54" s="6"/>
      <c r="K54" s="6"/>
      <c r="L54" s="6"/>
      <c r="M54" s="6"/>
      <c r="N54" s="6"/>
      <c r="O54" s="6"/>
    </row>
    <row r="55" spans="1:15">
      <c r="A55" s="6"/>
      <c r="B55" s="6"/>
      <c r="C55" s="7"/>
      <c r="D55" s="6"/>
      <c r="E55" s="6"/>
      <c r="F55" s="9"/>
      <c r="G55" s="9"/>
      <c r="H55" s="9"/>
      <c r="I55" s="9"/>
      <c r="J55" s="6"/>
      <c r="K55" s="6"/>
      <c r="L55" s="6"/>
      <c r="M55" s="6"/>
      <c r="N55" s="6"/>
      <c r="O55" s="6"/>
    </row>
    <row r="56" spans="1:15">
      <c r="A56" s="6"/>
      <c r="B56" s="6"/>
      <c r="C56" s="7"/>
      <c r="D56" s="6"/>
      <c r="E56" s="6"/>
      <c r="F56" s="9"/>
      <c r="G56" s="9"/>
      <c r="H56" s="9"/>
      <c r="I56" s="9"/>
      <c r="J56" s="6"/>
      <c r="K56" s="6"/>
      <c r="L56" s="6"/>
      <c r="M56" s="6"/>
      <c r="N56" s="6"/>
      <c r="O56" s="6"/>
    </row>
    <row r="57" spans="1:15">
      <c r="A57" s="6"/>
      <c r="B57" s="6"/>
      <c r="C57" s="7"/>
      <c r="D57" s="6"/>
      <c r="E57" s="6"/>
      <c r="F57" s="9"/>
      <c r="G57" s="9"/>
      <c r="H57" s="9"/>
      <c r="I57" s="9"/>
      <c r="J57" s="6"/>
      <c r="K57" s="6"/>
      <c r="L57" s="6"/>
      <c r="M57" s="6"/>
      <c r="N57" s="6"/>
      <c r="O57" s="6"/>
    </row>
    <row r="58" spans="1:15">
      <c r="A58" s="6"/>
      <c r="B58" s="6"/>
      <c r="C58" s="7"/>
      <c r="D58" s="6"/>
      <c r="E58" s="6"/>
      <c r="F58" s="9"/>
      <c r="G58" s="9"/>
      <c r="H58" s="9"/>
      <c r="I58" s="9"/>
      <c r="J58" s="6"/>
      <c r="K58" s="6"/>
      <c r="L58" s="6"/>
      <c r="M58" s="6"/>
      <c r="N58" s="6"/>
      <c r="O58" s="6"/>
    </row>
    <row r="59" spans="1:15">
      <c r="A59" s="6"/>
      <c r="B59" s="6"/>
      <c r="C59" s="7"/>
      <c r="D59" s="6"/>
      <c r="E59" s="6"/>
      <c r="F59" s="9"/>
      <c r="G59" s="9"/>
      <c r="H59" s="9"/>
      <c r="I59" s="9"/>
      <c r="J59" s="6"/>
      <c r="K59" s="6"/>
      <c r="L59" s="6"/>
      <c r="M59" s="6"/>
      <c r="N59" s="6"/>
      <c r="O59" s="6"/>
    </row>
    <row r="60" spans="1:15">
      <c r="A60" s="6"/>
      <c r="B60" s="6"/>
      <c r="C60" s="7"/>
      <c r="D60" s="6"/>
      <c r="E60" s="6"/>
      <c r="F60" s="9"/>
      <c r="G60" s="9"/>
      <c r="H60" s="9"/>
      <c r="I60" s="9"/>
      <c r="J60" s="6"/>
      <c r="K60" s="6"/>
      <c r="L60" s="6"/>
      <c r="M60" s="6"/>
      <c r="N60" s="6"/>
      <c r="O60" s="6"/>
    </row>
    <row r="61" spans="1:15">
      <c r="A61" s="6"/>
      <c r="B61" s="6"/>
      <c r="C61" s="7"/>
      <c r="D61" s="6"/>
      <c r="E61" s="6"/>
      <c r="F61" s="9"/>
      <c r="G61" s="9"/>
      <c r="H61" s="9"/>
      <c r="I61" s="9"/>
      <c r="J61" s="6"/>
      <c r="K61" s="6"/>
      <c r="L61" s="6"/>
      <c r="M61" s="6"/>
      <c r="N61" s="6"/>
      <c r="O61" s="6"/>
    </row>
    <row r="62" spans="1:15">
      <c r="A62" s="6"/>
      <c r="B62" s="6"/>
      <c r="C62" s="7"/>
      <c r="D62" s="6"/>
      <c r="E62" s="6"/>
      <c r="F62" s="9"/>
      <c r="G62" s="9"/>
      <c r="H62" s="9"/>
      <c r="I62" s="9"/>
      <c r="J62" s="6"/>
      <c r="K62" s="6"/>
      <c r="L62" s="6"/>
      <c r="M62" s="6"/>
      <c r="N62" s="6"/>
      <c r="O62" s="6"/>
    </row>
    <row r="63" spans="1:15">
      <c r="A63" s="6"/>
      <c r="B63" s="6"/>
      <c r="C63" s="7"/>
      <c r="D63" s="6"/>
      <c r="E63" s="6"/>
      <c r="F63" s="9"/>
      <c r="G63" s="9"/>
      <c r="H63" s="9"/>
      <c r="I63" s="9"/>
      <c r="J63" s="6"/>
      <c r="K63" s="6"/>
      <c r="L63" s="6"/>
      <c r="M63" s="6"/>
      <c r="N63" s="6"/>
      <c r="O63" s="6"/>
    </row>
    <row r="64" spans="1:15">
      <c r="A64" s="6"/>
      <c r="B64" s="6"/>
      <c r="C64" s="7"/>
      <c r="D64" s="6"/>
      <c r="E64" s="6"/>
      <c r="F64" s="9"/>
      <c r="G64" s="9"/>
      <c r="H64" s="9"/>
      <c r="I64" s="9"/>
      <c r="J64" s="6"/>
      <c r="K64" s="6"/>
      <c r="L64" s="6"/>
      <c r="M64" s="6"/>
      <c r="N64" s="6"/>
      <c r="O64" s="6"/>
    </row>
    <row r="65" spans="1:15">
      <c r="A65" s="6"/>
      <c r="B65" s="6"/>
      <c r="C65" s="7"/>
      <c r="D65" s="6"/>
      <c r="E65" s="6"/>
      <c r="F65" s="9"/>
      <c r="G65" s="9"/>
      <c r="H65" s="9"/>
      <c r="I65" s="9"/>
      <c r="J65" s="6"/>
      <c r="K65" s="6"/>
      <c r="L65" s="6"/>
      <c r="M65" s="6"/>
      <c r="N65" s="6"/>
      <c r="O65" s="6"/>
    </row>
    <row r="66" spans="1:15">
      <c r="A66" s="6"/>
      <c r="B66" s="6"/>
      <c r="C66" s="7"/>
      <c r="D66" s="6"/>
      <c r="E66" s="6"/>
      <c r="F66" s="9"/>
      <c r="G66" s="9"/>
      <c r="H66" s="9"/>
      <c r="I66" s="9"/>
      <c r="J66" s="6"/>
      <c r="K66" s="6"/>
      <c r="L66" s="6"/>
      <c r="M66" s="6"/>
      <c r="N66" s="6"/>
      <c r="O66" s="6"/>
    </row>
    <row r="67" spans="1:15">
      <c r="A67" s="6"/>
      <c r="B67" s="6"/>
      <c r="C67" s="7"/>
      <c r="D67" s="6"/>
      <c r="E67" s="6"/>
      <c r="F67" s="9"/>
      <c r="G67" s="9"/>
      <c r="H67" s="9"/>
      <c r="I67" s="9"/>
      <c r="J67" s="6"/>
      <c r="K67" s="6"/>
      <c r="L67" s="6"/>
      <c r="M67" s="6"/>
      <c r="N67" s="6"/>
      <c r="O67" s="6"/>
    </row>
    <row r="68" spans="1:15">
      <c r="A68" s="6"/>
      <c r="B68" s="6"/>
      <c r="C68" s="7"/>
      <c r="D68" s="6"/>
      <c r="E68" s="6"/>
      <c r="F68" s="9"/>
      <c r="G68" s="9"/>
      <c r="H68" s="9"/>
      <c r="I68" s="9"/>
      <c r="J68" s="6"/>
      <c r="K68" s="6"/>
      <c r="L68" s="6"/>
      <c r="M68" s="6"/>
      <c r="N68" s="6"/>
      <c r="O68" s="6"/>
    </row>
    <row r="69" spans="1:15">
      <c r="A69" s="6"/>
      <c r="B69" s="6"/>
      <c r="C69" s="7"/>
      <c r="D69" s="6"/>
      <c r="E69" s="6"/>
      <c r="F69" s="9"/>
      <c r="G69" s="9"/>
      <c r="H69" s="9"/>
      <c r="I69" s="9"/>
      <c r="J69" s="6"/>
      <c r="K69" s="6"/>
      <c r="L69" s="6"/>
      <c r="M69" s="6"/>
      <c r="N69" s="6"/>
      <c r="O69" s="6"/>
    </row>
    <row r="70" spans="1:15">
      <c r="A70" s="6"/>
      <c r="B70" s="6"/>
      <c r="C70" s="7"/>
      <c r="D70" s="6"/>
      <c r="E70" s="6"/>
      <c r="F70" s="9"/>
      <c r="G70" s="9"/>
      <c r="H70" s="9"/>
      <c r="I70" s="9"/>
      <c r="J70" s="6"/>
      <c r="K70" s="6"/>
      <c r="L70" s="6"/>
      <c r="M70" s="6"/>
      <c r="N70" s="6"/>
      <c r="O70" s="6"/>
    </row>
    <row r="71" spans="1:15">
      <c r="A71" s="6"/>
      <c r="B71" s="6"/>
      <c r="C71" s="7"/>
      <c r="D71" s="6"/>
      <c r="E71" s="6"/>
      <c r="F71" s="9"/>
      <c r="G71" s="9"/>
      <c r="H71" s="9"/>
      <c r="I71" s="9"/>
      <c r="J71" s="6"/>
      <c r="K71" s="6"/>
      <c r="L71" s="6"/>
      <c r="M71" s="6"/>
      <c r="N71" s="6"/>
      <c r="O71" s="6"/>
    </row>
    <row r="72" spans="1:15">
      <c r="A72" s="6"/>
      <c r="B72" s="6"/>
      <c r="C72" s="7"/>
      <c r="D72" s="6"/>
      <c r="E72" s="6"/>
      <c r="F72" s="9"/>
      <c r="G72" s="9"/>
      <c r="H72" s="9"/>
      <c r="I72" s="9"/>
      <c r="J72" s="6"/>
      <c r="K72" s="6"/>
      <c r="L72" s="6"/>
      <c r="M72" s="6"/>
      <c r="N72" s="6"/>
      <c r="O72" s="6"/>
    </row>
    <row r="73" spans="1:15">
      <c r="A73" s="6"/>
      <c r="B73" s="6"/>
      <c r="C73" s="7"/>
      <c r="D73" s="6"/>
      <c r="E73" s="6"/>
      <c r="F73" s="9"/>
      <c r="G73" s="9"/>
      <c r="H73" s="9"/>
      <c r="I73" s="9"/>
      <c r="J73" s="6"/>
      <c r="K73" s="6"/>
      <c r="L73" s="6"/>
      <c r="M73" s="6"/>
      <c r="N73" s="6"/>
      <c r="O73" s="6"/>
    </row>
    <row r="74" spans="1:15">
      <c r="A74" s="6"/>
      <c r="B74" s="6"/>
      <c r="C74" s="7"/>
      <c r="D74" s="6"/>
      <c r="E74" s="6"/>
      <c r="F74" s="9"/>
      <c r="G74" s="9"/>
      <c r="H74" s="9"/>
      <c r="I74" s="9"/>
      <c r="J74" s="6"/>
      <c r="K74" s="6"/>
      <c r="L74" s="6"/>
      <c r="M74" s="6"/>
      <c r="N74" s="6"/>
      <c r="O74" s="6"/>
    </row>
    <row r="75" spans="1:15">
      <c r="A75" s="6"/>
      <c r="B75" s="6"/>
      <c r="C75" s="7"/>
      <c r="D75" s="6"/>
      <c r="E75" s="6"/>
      <c r="F75" s="9"/>
      <c r="G75" s="9"/>
      <c r="H75" s="9"/>
      <c r="I75" s="9"/>
      <c r="J75" s="6"/>
      <c r="K75" s="6"/>
      <c r="L75" s="6"/>
      <c r="M75" s="6"/>
      <c r="N75" s="6"/>
      <c r="O75" s="6"/>
    </row>
    <row r="76" spans="1:15">
      <c r="A76" s="6"/>
      <c r="B76" s="6"/>
      <c r="C76" s="7"/>
      <c r="D76" s="6"/>
      <c r="E76" s="6"/>
      <c r="F76" s="9"/>
      <c r="G76" s="9"/>
      <c r="H76" s="9"/>
      <c r="I76" s="9"/>
      <c r="J76" s="6"/>
      <c r="K76" s="6"/>
      <c r="L76" s="6"/>
      <c r="M76" s="6"/>
      <c r="N76" s="6"/>
      <c r="O76" s="6"/>
    </row>
    <row r="77" spans="1:15">
      <c r="A77" s="6"/>
      <c r="B77" s="6"/>
      <c r="C77" s="7"/>
      <c r="D77" s="6"/>
      <c r="E77" s="6"/>
      <c r="F77" s="9"/>
      <c r="G77" s="9"/>
      <c r="H77" s="9"/>
      <c r="I77" s="9"/>
      <c r="J77" s="6"/>
      <c r="K77" s="6"/>
      <c r="L77" s="6"/>
      <c r="M77" s="6"/>
      <c r="N77" s="6"/>
      <c r="O77" s="6"/>
    </row>
    <row r="78" spans="1:15">
      <c r="A78" s="6"/>
      <c r="B78" s="6"/>
      <c r="C78" s="7"/>
      <c r="D78" s="6"/>
      <c r="E78" s="6"/>
      <c r="F78" s="9"/>
      <c r="G78" s="9"/>
      <c r="H78" s="9"/>
      <c r="I78" s="9"/>
      <c r="J78" s="6"/>
      <c r="K78" s="6"/>
      <c r="L78" s="6"/>
      <c r="M78" s="6"/>
      <c r="N78" s="6"/>
      <c r="O78" s="6"/>
    </row>
    <row r="79" spans="1:15">
      <c r="A79" s="6"/>
      <c r="B79" s="6"/>
      <c r="C79" s="7"/>
      <c r="D79" s="6"/>
      <c r="E79" s="6"/>
      <c r="F79" s="9"/>
      <c r="G79" s="9"/>
      <c r="H79" s="9"/>
      <c r="I79" s="9"/>
      <c r="J79" s="6"/>
      <c r="K79" s="6"/>
      <c r="L79" s="6"/>
      <c r="M79" s="6"/>
      <c r="N79" s="6"/>
      <c r="O79" s="6"/>
    </row>
    <row r="80" spans="1:15">
      <c r="A80" s="6"/>
      <c r="B80" s="6"/>
      <c r="C80" s="7"/>
      <c r="D80" s="6"/>
      <c r="E80" s="6"/>
      <c r="F80" s="9"/>
      <c r="G80" s="9"/>
      <c r="H80" s="9"/>
      <c r="I80" s="9"/>
      <c r="J80" s="6"/>
      <c r="K80" s="6"/>
      <c r="L80" s="6"/>
      <c r="M80" s="6"/>
      <c r="N80" s="6"/>
      <c r="O80" s="6"/>
    </row>
    <row r="81" spans="1:15">
      <c r="A81" s="6"/>
      <c r="B81" s="6"/>
      <c r="C81" s="7"/>
      <c r="D81" s="6"/>
      <c r="E81" s="6"/>
      <c r="F81" s="9"/>
      <c r="G81" s="9"/>
      <c r="H81" s="9"/>
      <c r="I81" s="9"/>
      <c r="J81" s="6"/>
      <c r="K81" s="6"/>
      <c r="L81" s="6"/>
      <c r="M81" s="6"/>
      <c r="N81" s="6"/>
      <c r="O81" s="6"/>
    </row>
    <row r="82" spans="1:15">
      <c r="A82" s="6"/>
      <c r="B82" s="6"/>
      <c r="C82" s="7"/>
      <c r="D82" s="6"/>
      <c r="E82" s="6"/>
      <c r="F82" s="9"/>
      <c r="G82" s="9"/>
      <c r="H82" s="9"/>
      <c r="I82" s="9"/>
      <c r="J82" s="6"/>
      <c r="K82" s="6"/>
      <c r="L82" s="6"/>
      <c r="M82" s="6"/>
      <c r="N82" s="6"/>
      <c r="O82" s="6"/>
    </row>
    <row r="83" spans="1:15">
      <c r="A83" s="6"/>
      <c r="B83" s="6"/>
      <c r="C83" s="7"/>
      <c r="D83" s="6"/>
      <c r="E83" s="6"/>
      <c r="F83" s="9"/>
      <c r="G83" s="9"/>
      <c r="H83" s="9"/>
      <c r="I83" s="9"/>
      <c r="J83" s="6"/>
      <c r="K83" s="6"/>
      <c r="L83" s="6"/>
      <c r="M83" s="6"/>
      <c r="N83" s="6"/>
      <c r="O83" s="6"/>
    </row>
    <row r="84" spans="1:15">
      <c r="A84" s="6"/>
      <c r="B84" s="6"/>
      <c r="C84" s="7"/>
      <c r="D84" s="6"/>
      <c r="E84" s="6"/>
      <c r="F84" s="9"/>
      <c r="G84" s="9"/>
      <c r="H84" s="9"/>
      <c r="I84" s="9"/>
      <c r="J84" s="6"/>
      <c r="K84" s="6"/>
      <c r="L84" s="6"/>
      <c r="M84" s="6"/>
      <c r="N84" s="6"/>
      <c r="O84" s="6"/>
    </row>
    <row r="85" spans="1:15">
      <c r="A85" s="6"/>
      <c r="B85" s="6"/>
      <c r="C85" s="7"/>
      <c r="D85" s="6"/>
      <c r="E85" s="6"/>
      <c r="F85" s="9"/>
      <c r="G85" s="9"/>
      <c r="H85" s="9"/>
      <c r="I85" s="9"/>
      <c r="J85" s="6"/>
      <c r="K85" s="6"/>
      <c r="L85" s="6"/>
      <c r="M85" s="6"/>
      <c r="N85" s="6"/>
      <c r="O85" s="6"/>
    </row>
    <row r="86" spans="1:15">
      <c r="A86" s="6"/>
      <c r="B86" s="6"/>
      <c r="C86" s="7"/>
      <c r="D86" s="6"/>
      <c r="E86" s="6"/>
      <c r="F86" s="9"/>
      <c r="G86" s="9"/>
      <c r="H86" s="9"/>
      <c r="I86" s="9"/>
      <c r="J86" s="6"/>
      <c r="K86" s="6"/>
      <c r="L86" s="6"/>
      <c r="M86" s="6"/>
      <c r="N86" s="6"/>
      <c r="O86" s="6"/>
    </row>
    <row r="87" spans="1:15">
      <c r="A87" s="6"/>
      <c r="B87" s="6"/>
      <c r="C87" s="7"/>
      <c r="D87" s="6"/>
      <c r="E87" s="6"/>
      <c r="F87" s="9"/>
      <c r="G87" s="9"/>
      <c r="H87" s="9"/>
      <c r="I87" s="9"/>
      <c r="J87" s="6"/>
      <c r="K87" s="6"/>
      <c r="L87" s="6"/>
      <c r="M87" s="6"/>
      <c r="N87" s="6"/>
      <c r="O87" s="6"/>
    </row>
    <row r="88" spans="1:15">
      <c r="A88" s="6"/>
      <c r="B88" s="6"/>
      <c r="C88" s="7"/>
      <c r="D88" s="6"/>
      <c r="E88" s="6"/>
      <c r="F88" s="9"/>
      <c r="G88" s="9"/>
      <c r="H88" s="9"/>
      <c r="I88" s="9"/>
      <c r="J88" s="6"/>
      <c r="K88" s="6"/>
      <c r="L88" s="6"/>
      <c r="M88" s="6"/>
      <c r="N88" s="6"/>
      <c r="O88" s="6"/>
    </row>
    <row r="89" spans="1:15">
      <c r="A89" s="6"/>
      <c r="B89" s="6"/>
      <c r="C89" s="7"/>
      <c r="D89" s="6"/>
      <c r="E89" s="6"/>
      <c r="F89" s="9"/>
      <c r="G89" s="9"/>
      <c r="H89" s="9"/>
      <c r="I89" s="9"/>
      <c r="J89" s="6"/>
      <c r="K89" s="6"/>
      <c r="L89" s="6"/>
      <c r="M89" s="6"/>
      <c r="N89" s="6"/>
      <c r="O89" s="6"/>
    </row>
    <row r="90" spans="1:15">
      <c r="A90" s="6"/>
      <c r="B90" s="6"/>
      <c r="C90" s="7"/>
      <c r="D90" s="6"/>
      <c r="E90" s="6"/>
      <c r="F90" s="9"/>
      <c r="G90" s="9"/>
      <c r="H90" s="9"/>
      <c r="I90" s="9"/>
      <c r="J90" s="6"/>
      <c r="K90" s="6"/>
      <c r="L90" s="6"/>
      <c r="M90" s="6"/>
      <c r="N90" s="6"/>
      <c r="O90" s="6"/>
    </row>
    <row r="91" spans="1:15">
      <c r="A91" s="6"/>
      <c r="B91" s="6"/>
      <c r="C91" s="7"/>
      <c r="D91" s="6"/>
      <c r="E91" s="6"/>
      <c r="F91" s="9"/>
      <c r="G91" s="9"/>
      <c r="H91" s="9"/>
      <c r="I91" s="9"/>
      <c r="J91" s="6"/>
      <c r="K91" s="6"/>
      <c r="L91" s="6"/>
      <c r="M91" s="6"/>
      <c r="N91" s="6"/>
      <c r="O91" s="6"/>
    </row>
    <row r="92" spans="1:15">
      <c r="A92" s="6"/>
      <c r="B92" s="6"/>
      <c r="C92" s="7"/>
      <c r="D92" s="6"/>
      <c r="E92" s="6"/>
      <c r="F92" s="9"/>
      <c r="G92" s="9"/>
      <c r="H92" s="9"/>
      <c r="I92" s="9"/>
      <c r="J92" s="6"/>
      <c r="K92" s="6"/>
      <c r="L92" s="6"/>
      <c r="M92" s="6"/>
      <c r="N92" s="6"/>
      <c r="O92" s="6"/>
    </row>
    <row r="93" spans="1:15">
      <c r="A93" s="6"/>
      <c r="B93" s="6"/>
      <c r="C93" s="7"/>
      <c r="D93" s="6"/>
      <c r="E93" s="6"/>
      <c r="F93" s="9"/>
      <c r="G93" s="9"/>
      <c r="H93" s="9"/>
      <c r="I93" s="9"/>
      <c r="J93" s="6"/>
      <c r="K93" s="6"/>
      <c r="L93" s="6"/>
      <c r="M93" s="6"/>
      <c r="N93" s="6"/>
      <c r="O93" s="6"/>
    </row>
    <row r="94" spans="1:15">
      <c r="A94" s="6"/>
      <c r="B94" s="6"/>
      <c r="C94" s="7"/>
      <c r="D94" s="6"/>
      <c r="E94" s="6"/>
      <c r="F94" s="9"/>
      <c r="G94" s="9"/>
      <c r="H94" s="9"/>
      <c r="I94" s="9"/>
      <c r="J94" s="6"/>
      <c r="K94" s="6"/>
      <c r="L94" s="6"/>
      <c r="M94" s="6"/>
      <c r="N94" s="6"/>
      <c r="O94" s="6"/>
    </row>
    <row r="95" spans="1:15">
      <c r="A95" s="6"/>
      <c r="B95" s="6"/>
      <c r="C95" s="7"/>
      <c r="D95" s="6"/>
      <c r="E95" s="6"/>
      <c r="F95" s="9"/>
      <c r="G95" s="9"/>
      <c r="H95" s="9"/>
      <c r="I95" s="9"/>
      <c r="J95" s="6"/>
      <c r="K95" s="6"/>
      <c r="L95" s="6"/>
      <c r="M95" s="6"/>
      <c r="N95" s="6"/>
      <c r="O95" s="6"/>
    </row>
    <row r="96" spans="1:15">
      <c r="A96" s="6"/>
      <c r="B96" s="6"/>
      <c r="C96" s="7"/>
      <c r="D96" s="6"/>
      <c r="E96" s="6"/>
      <c r="F96" s="9"/>
      <c r="G96" s="9"/>
      <c r="H96" s="9"/>
      <c r="I96" s="9"/>
      <c r="J96" s="6"/>
      <c r="K96" s="6"/>
      <c r="L96" s="6"/>
      <c r="M96" s="6"/>
      <c r="N96" s="6"/>
      <c r="O96" s="6"/>
    </row>
    <row r="97" spans="1:15">
      <c r="A97" s="6"/>
      <c r="B97" s="6"/>
      <c r="C97" s="7"/>
      <c r="D97" s="6"/>
      <c r="E97" s="6"/>
      <c r="F97" s="9"/>
      <c r="G97" s="9"/>
      <c r="H97" s="9"/>
      <c r="I97" s="9"/>
      <c r="J97" s="6"/>
      <c r="K97" s="6"/>
      <c r="L97" s="6"/>
      <c r="M97" s="6"/>
      <c r="N97" s="6"/>
      <c r="O97" s="6"/>
    </row>
    <row r="98" spans="1:15">
      <c r="A98" s="6"/>
      <c r="B98" s="6"/>
      <c r="C98" s="7"/>
      <c r="D98" s="6"/>
      <c r="E98" s="6"/>
      <c r="F98" s="9"/>
      <c r="G98" s="9"/>
      <c r="H98" s="9"/>
      <c r="I98" s="9"/>
      <c r="J98" s="6"/>
      <c r="K98" s="6"/>
      <c r="L98" s="6"/>
      <c r="M98" s="6"/>
      <c r="N98" s="6"/>
      <c r="O98" s="6"/>
    </row>
    <row r="99" spans="1:15">
      <c r="A99" s="6"/>
      <c r="B99" s="6"/>
      <c r="C99" s="7"/>
      <c r="D99" s="6"/>
      <c r="E99" s="6"/>
      <c r="F99" s="9"/>
      <c r="G99" s="9"/>
      <c r="H99" s="9"/>
      <c r="I99" s="9"/>
      <c r="J99" s="6"/>
      <c r="K99" s="6"/>
      <c r="L99" s="6"/>
      <c r="M99" s="6"/>
      <c r="N99" s="6"/>
      <c r="O99" s="6"/>
    </row>
    <row r="100" spans="1:15">
      <c r="A100" s="6"/>
      <c r="B100" s="6"/>
      <c r="C100" s="7"/>
      <c r="D100" s="6"/>
      <c r="E100" s="6"/>
      <c r="F100" s="9"/>
      <c r="G100" s="9"/>
      <c r="H100" s="9"/>
      <c r="I100" s="9"/>
      <c r="J100" s="6"/>
      <c r="K100" s="6"/>
      <c r="L100" s="6"/>
      <c r="M100" s="6"/>
      <c r="N100" s="6"/>
      <c r="O100" s="6"/>
    </row>
    <row r="101" spans="1:15">
      <c r="A101" s="6"/>
      <c r="B101" s="6"/>
      <c r="C101" s="7"/>
      <c r="D101" s="6"/>
      <c r="E101" s="6"/>
      <c r="F101" s="9"/>
      <c r="G101" s="9"/>
      <c r="H101" s="9"/>
      <c r="I101" s="9"/>
      <c r="J101" s="6"/>
      <c r="K101" s="6"/>
      <c r="L101" s="6"/>
      <c r="M101" s="6"/>
      <c r="N101" s="6"/>
      <c r="O101" s="6"/>
    </row>
    <row r="102" spans="1:15">
      <c r="A102" s="6"/>
      <c r="B102" s="6"/>
      <c r="C102" s="7"/>
      <c r="D102" s="6"/>
      <c r="E102" s="6"/>
      <c r="F102" s="9"/>
      <c r="G102" s="9"/>
      <c r="H102" s="9"/>
      <c r="I102" s="9"/>
      <c r="J102" s="6"/>
      <c r="K102" s="6"/>
      <c r="L102" s="6"/>
      <c r="M102" s="6"/>
      <c r="N102" s="6"/>
      <c r="O102" s="6"/>
    </row>
    <row r="103" spans="1:15">
      <c r="A103" s="6"/>
      <c r="B103" s="6"/>
      <c r="C103" s="7"/>
      <c r="D103" s="6"/>
      <c r="E103" s="6"/>
      <c r="F103" s="9"/>
      <c r="G103" s="9"/>
      <c r="H103" s="9"/>
      <c r="I103" s="9"/>
      <c r="J103" s="6"/>
      <c r="K103" s="6"/>
      <c r="L103" s="6"/>
      <c r="M103" s="6"/>
      <c r="N103" s="6"/>
      <c r="O103" s="6"/>
    </row>
    <row r="104" spans="1:15">
      <c r="A104" s="6"/>
      <c r="B104" s="6"/>
      <c r="C104" s="7"/>
      <c r="D104" s="6"/>
      <c r="E104" s="6"/>
      <c r="F104" s="9"/>
      <c r="G104" s="9"/>
      <c r="H104" s="9"/>
      <c r="I104" s="9"/>
      <c r="J104" s="6"/>
      <c r="K104" s="6"/>
      <c r="L104" s="6"/>
      <c r="M104" s="6"/>
      <c r="N104" s="6"/>
      <c r="O104" s="6"/>
    </row>
    <row r="105" spans="1:15">
      <c r="A105" s="6"/>
      <c r="B105" s="6"/>
      <c r="C105" s="7"/>
      <c r="D105" s="6"/>
      <c r="E105" s="6"/>
      <c r="F105" s="9"/>
      <c r="G105" s="9"/>
      <c r="H105" s="9"/>
      <c r="I105" s="9"/>
      <c r="J105" s="6"/>
      <c r="K105" s="6"/>
      <c r="L105" s="6"/>
      <c r="M105" s="6"/>
      <c r="N105" s="6"/>
      <c r="O105" s="6"/>
    </row>
  </sheetData>
  <mergeCells count="3">
    <mergeCell ref="A1:O1"/>
    <mergeCell ref="A2:O2"/>
    <mergeCell ref="A3:O3"/>
  </mergeCells>
  <dataValidations count="7">
    <dataValidation type="date" allowBlank="1" showInputMessage="1" showErrorMessage="1" sqref="C6:C105">
      <formula1>36526</formula1>
      <formula2>73415</formula2>
    </dataValidation>
    <dataValidation type="whole" operator="greaterThanOrEqual" allowBlank="1" showInputMessage="1" showErrorMessage="1" error="包装数量按非负整数核对。" sqref="F6:F105">
      <formula1>0</formula1>
    </dataValidation>
    <dataValidation type="whole" operator="greaterThanOrEqual" allowBlank="1" showInputMessage="1" showErrorMessage="1" error="包装数量按非负整数核对。" sqref="G6:G105">
      <formula1>0</formula1>
    </dataValidation>
    <dataValidation type="whole" operator="greaterThanOrEqual" allowBlank="1" showInputMessage="1" showErrorMessage="1" error="包装数量按非负整数核对。" sqref="H6:H105">
      <formula1>0</formula1>
    </dataValidation>
    <dataValidation type="whole" operator="greaterThanOrEqual" allowBlank="1" showInputMessage="1" showErrorMessage="1" error="包装数量按非负整数核对。" sqref="I6:I105">
      <formula1>0</formula1>
    </dataValidation>
    <dataValidation type="list" allowBlank="1" showInputMessage="1" showErrorMessage="1" errorTitle="请选择下拉项" error="请从下拉列表选择，不要自行修改选项文字。" sqref="L6:L105">
      <formula1>cutover_action</formula1>
    </dataValidation>
    <dataValidation type="list" allowBlank="1" showInputMessage="1" showErrorMessage="1" errorTitle="请选择下拉项" error="请从下拉列表选择，不要自行修改选项文字。" sqref="N6:N105">
      <formula1>maint_status</formula1>
    </dataValidation>
  </dataValidations>
  <hyperlinks>
    <hyperlink ref="A4" r:id="rId1"/>
  </hyperlinks>
  <pageMargins left="0.3" right="0.3" top="0.4" bottom="0.4" header="0.3" footer="0.3"/>
  <pageSetup paperSize="8" fitToHeight="0" orientation="landscape"/>
  <headerFooter>
    <oddFooter>&amp;L棚户记账 · 基础数据维护1.2.2&amp;R第 &amp;P 页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H1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8.7109375" style="6" customWidth="1"/>
    <col min="2" max="2" width="26.7109375" style="6" customWidth="1"/>
    <col min="3" max="3" width="18.7109375" style="6" customWidth="1"/>
    <col min="4" max="4" width="58.7109375" style="6" customWidth="1"/>
    <col min="5" max="5" width="54.7109375" style="6" customWidth="1"/>
    <col min="6" max="6" width="18.7109375" style="6" customWidth="1"/>
    <col min="7" max="7" width="17.7109375" style="6" customWidth="1"/>
    <col min="8" max="8" width="42.7109375" style="6" customWidth="1"/>
  </cols>
  <sheetData>
    <row r="1" spans="1:8" ht="36" customHeight="1">
      <c r="A1" s="1" t="s">
        <v>232</v>
      </c>
      <c r="B1" s="1"/>
      <c r="C1" s="1"/>
      <c r="D1" s="1"/>
      <c r="E1" s="1"/>
      <c r="F1" s="1"/>
      <c r="G1" s="1"/>
      <c r="H1" s="1"/>
    </row>
    <row r="2" spans="1:8" ht="42" customHeight="1">
      <c r="A2" s="2" t="s">
        <v>233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234</v>
      </c>
      <c r="B3" s="2"/>
      <c r="C3" s="2"/>
      <c r="D3" s="2"/>
      <c r="E3" s="2"/>
      <c r="F3" s="2"/>
      <c r="G3" s="2"/>
      <c r="H3" s="2"/>
    </row>
    <row r="5" spans="1:8" ht="44" customHeight="1">
      <c r="A5" s="3" t="s">
        <v>235</v>
      </c>
      <c r="B5" s="3" t="s">
        <v>236</v>
      </c>
      <c r="C5" s="3" t="s">
        <v>237</v>
      </c>
      <c r="D5" s="3" t="s">
        <v>238</v>
      </c>
      <c r="E5" s="3" t="s">
        <v>239</v>
      </c>
      <c r="F5" s="3" t="s">
        <v>85</v>
      </c>
      <c r="G5" s="3" t="s">
        <v>240</v>
      </c>
      <c r="H5" s="3" t="s">
        <v>241</v>
      </c>
    </row>
    <row r="6" spans="1:8" ht="74" customHeight="1">
      <c r="A6" s="4" t="s">
        <v>89</v>
      </c>
      <c r="B6" s="4" t="s">
        <v>242</v>
      </c>
      <c r="C6" s="4" t="s">
        <v>243</v>
      </c>
      <c r="D6" s="4" t="s">
        <v>244</v>
      </c>
      <c r="E6" s="4" t="s">
        <v>245</v>
      </c>
      <c r="F6" s="6"/>
      <c r="G6" s="6"/>
      <c r="H6" s="6"/>
    </row>
    <row r="7" spans="1:8" ht="74" customHeight="1">
      <c r="A7" s="4" t="s">
        <v>95</v>
      </c>
      <c r="B7" s="4" t="s">
        <v>246</v>
      </c>
      <c r="C7" s="4" t="s">
        <v>243</v>
      </c>
      <c r="D7" s="4" t="s">
        <v>247</v>
      </c>
      <c r="E7" s="4" t="s">
        <v>248</v>
      </c>
      <c r="F7" s="6"/>
      <c r="G7" s="6"/>
      <c r="H7" s="6"/>
    </row>
    <row r="8" spans="1:8" ht="74" customHeight="1">
      <c r="A8" s="4" t="s">
        <v>100</v>
      </c>
      <c r="B8" s="4" t="s">
        <v>249</v>
      </c>
      <c r="C8" s="4" t="s">
        <v>250</v>
      </c>
      <c r="D8" s="4" t="s">
        <v>251</v>
      </c>
      <c r="E8" s="4" t="s">
        <v>252</v>
      </c>
      <c r="F8" s="6"/>
      <c r="G8" s="6"/>
      <c r="H8" s="6"/>
    </row>
    <row r="9" spans="1:8" ht="74" customHeight="1">
      <c r="A9" s="4" t="s">
        <v>105</v>
      </c>
      <c r="B9" s="4" t="s">
        <v>253</v>
      </c>
      <c r="C9" s="4" t="s">
        <v>254</v>
      </c>
      <c r="D9" s="4" t="s">
        <v>255</v>
      </c>
      <c r="E9" s="4" t="s">
        <v>256</v>
      </c>
      <c r="F9" s="6"/>
      <c r="G9" s="6"/>
      <c r="H9" s="6"/>
    </row>
    <row r="10" spans="1:8" ht="74" customHeight="1">
      <c r="A10" s="4" t="s">
        <v>111</v>
      </c>
      <c r="B10" s="4" t="s">
        <v>257</v>
      </c>
      <c r="C10" s="4" t="s">
        <v>258</v>
      </c>
      <c r="D10" s="4" t="s">
        <v>259</v>
      </c>
      <c r="E10" s="4" t="s">
        <v>260</v>
      </c>
      <c r="F10" s="6"/>
      <c r="G10" s="6"/>
      <c r="H10" s="6"/>
    </row>
    <row r="11" spans="1:8" ht="74" customHeight="1">
      <c r="A11" s="4" t="s">
        <v>117</v>
      </c>
      <c r="B11" s="4" t="s">
        <v>261</v>
      </c>
      <c r="C11" s="4" t="s">
        <v>254</v>
      </c>
      <c r="D11" s="4" t="s">
        <v>262</v>
      </c>
      <c r="E11" s="4" t="s">
        <v>263</v>
      </c>
      <c r="F11" s="6"/>
      <c r="G11" s="6"/>
      <c r="H11" s="6"/>
    </row>
    <row r="12" spans="1:8" ht="74" customHeight="1">
      <c r="A12" s="4" t="s">
        <v>123</v>
      </c>
      <c r="B12" s="4" t="s">
        <v>264</v>
      </c>
      <c r="C12" s="4" t="s">
        <v>265</v>
      </c>
      <c r="D12" s="4" t="s">
        <v>266</v>
      </c>
      <c r="E12" s="4" t="s">
        <v>267</v>
      </c>
      <c r="F12" s="6"/>
      <c r="G12" s="6"/>
      <c r="H12" s="6"/>
    </row>
    <row r="13" spans="1:8" ht="74" customHeight="1">
      <c r="A13" s="4" t="s">
        <v>129</v>
      </c>
      <c r="B13" s="4" t="s">
        <v>268</v>
      </c>
      <c r="C13" s="4" t="s">
        <v>243</v>
      </c>
      <c r="D13" s="4" t="s">
        <v>269</v>
      </c>
      <c r="E13" s="4" t="s">
        <v>270</v>
      </c>
      <c r="F13" s="6"/>
      <c r="G13" s="6"/>
      <c r="H13" s="6"/>
    </row>
    <row r="14" spans="1:8" ht="74" customHeight="1">
      <c r="A14" s="4" t="s">
        <v>134</v>
      </c>
      <c r="B14" s="4" t="s">
        <v>271</v>
      </c>
      <c r="C14" s="4" t="s">
        <v>272</v>
      </c>
      <c r="D14" s="4" t="s">
        <v>273</v>
      </c>
      <c r="E14" s="4" t="s">
        <v>274</v>
      </c>
      <c r="F14" s="6"/>
      <c r="G14" s="6"/>
      <c r="H14" s="6"/>
    </row>
    <row r="15" spans="1:8" ht="74" customHeight="1">
      <c r="A15" s="4" t="s">
        <v>139</v>
      </c>
      <c r="B15" s="4" t="s">
        <v>275</v>
      </c>
      <c r="C15" s="4" t="s">
        <v>276</v>
      </c>
      <c r="D15" s="4" t="s">
        <v>277</v>
      </c>
      <c r="E15" s="4" t="s">
        <v>278</v>
      </c>
      <c r="F15" s="6"/>
      <c r="G15" s="6"/>
      <c r="H15" s="6"/>
    </row>
    <row r="16" spans="1:8" ht="74" customHeight="1">
      <c r="A16" s="4" t="s">
        <v>145</v>
      </c>
      <c r="B16" s="4" t="s">
        <v>279</v>
      </c>
      <c r="C16" s="4" t="s">
        <v>258</v>
      </c>
      <c r="D16" s="4" t="s">
        <v>280</v>
      </c>
      <c r="E16" s="4" t="s">
        <v>281</v>
      </c>
      <c r="F16" s="6"/>
      <c r="G16" s="6"/>
      <c r="H16" s="6"/>
    </row>
    <row r="17" spans="1:8" ht="74" customHeight="1">
      <c r="A17" s="4" t="s">
        <v>151</v>
      </c>
      <c r="B17" s="4" t="s">
        <v>282</v>
      </c>
      <c r="C17" s="4" t="s">
        <v>283</v>
      </c>
      <c r="D17" s="4" t="s">
        <v>284</v>
      </c>
      <c r="E17" s="4" t="s">
        <v>285</v>
      </c>
      <c r="F17" s="6"/>
      <c r="G17" s="6"/>
      <c r="H17" s="6"/>
    </row>
  </sheetData>
  <mergeCells count="3">
    <mergeCell ref="A1:H1"/>
    <mergeCell ref="A2:H2"/>
    <mergeCell ref="A3:H3"/>
  </mergeCells>
  <conditionalFormatting sqref="G6:G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1">
    <dataValidation type="list" allowBlank="1" showInputMessage="1" showErrorMessage="1" errorTitle="请选择下拉项" error="请从下拉列表选择，不要自行修改选项文字。" sqref="G6:G17">
      <formula1>review_result</formula1>
    </dataValidation>
  </dataValidations>
  <pageMargins left="0.3" right="0.3" top="0.4" bottom="0.4" header="0.3" footer="0.3"/>
  <pageSetup paperSize="9" fitToHeight="0" orientation="landscape"/>
  <headerFooter>
    <oddFooter>&amp;L棚户记账 · 基础数据维护1.2.2&amp;R第 &amp;P 页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D19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3.7109375" style="6" customWidth="1"/>
    <col min="2" max="2" width="47.7109375" style="6" customWidth="1"/>
    <col min="3" max="3" width="58.7109375" style="6" customWidth="1"/>
    <col min="4" max="4" width="53.7109375" style="6" customWidth="1"/>
  </cols>
  <sheetData>
    <row r="1" spans="1:4" ht="36" customHeight="1">
      <c r="A1" s="1" t="s">
        <v>286</v>
      </c>
      <c r="B1" s="1"/>
      <c r="C1" s="1"/>
      <c r="D1" s="1"/>
    </row>
    <row r="2" spans="1:4" ht="42" customHeight="1">
      <c r="A2" s="2" t="s">
        <v>287</v>
      </c>
      <c r="B2" s="2"/>
      <c r="C2" s="2"/>
      <c r="D2" s="2"/>
    </row>
    <row r="3" spans="1:4" ht="38" customHeight="1">
      <c r="A3" s="2" t="s">
        <v>288</v>
      </c>
      <c r="B3" s="2"/>
      <c r="C3" s="2"/>
      <c r="D3" s="2"/>
    </row>
    <row r="5" spans="1:4" ht="44" customHeight="1">
      <c r="A5" s="3" t="s">
        <v>289</v>
      </c>
      <c r="B5" s="3" t="s">
        <v>290</v>
      </c>
      <c r="C5" s="3" t="s">
        <v>291</v>
      </c>
      <c r="D5" s="3" t="s">
        <v>292</v>
      </c>
    </row>
    <row r="6" spans="1:4" ht="69" customHeight="1">
      <c r="A6" s="4" t="s">
        <v>176</v>
      </c>
      <c r="B6" s="4" t="s">
        <v>293</v>
      </c>
      <c r="C6" s="4" t="s">
        <v>294</v>
      </c>
      <c r="D6" s="4" t="s">
        <v>295</v>
      </c>
    </row>
    <row r="7" spans="1:4" ht="69" customHeight="1">
      <c r="A7" s="4" t="s">
        <v>178</v>
      </c>
      <c r="B7" s="4" t="s">
        <v>296</v>
      </c>
      <c r="C7" s="4" t="s">
        <v>297</v>
      </c>
      <c r="D7" s="4" t="s">
        <v>298</v>
      </c>
    </row>
    <row r="8" spans="1:4" ht="69" customHeight="1">
      <c r="A8" s="4" t="s">
        <v>179</v>
      </c>
      <c r="B8" s="4" t="s">
        <v>299</v>
      </c>
      <c r="C8" s="4" t="s">
        <v>300</v>
      </c>
      <c r="D8" s="4" t="s">
        <v>301</v>
      </c>
    </row>
    <row r="9" spans="1:4" ht="69" customHeight="1">
      <c r="A9" s="4" t="s">
        <v>180</v>
      </c>
      <c r="B9" s="4" t="s">
        <v>302</v>
      </c>
      <c r="C9" s="4" t="s">
        <v>303</v>
      </c>
      <c r="D9" s="4" t="s">
        <v>304</v>
      </c>
    </row>
    <row r="10" spans="1:4" ht="69" customHeight="1">
      <c r="A10" s="4" t="s">
        <v>177</v>
      </c>
      <c r="B10" s="4" t="s">
        <v>305</v>
      </c>
      <c r="C10" s="4" t="s">
        <v>306</v>
      </c>
      <c r="D10" s="4" t="s">
        <v>307</v>
      </c>
    </row>
    <row r="11" spans="1:4" ht="69" customHeight="1">
      <c r="A11" s="4" t="s">
        <v>106</v>
      </c>
      <c r="B11" s="4" t="s">
        <v>308</v>
      </c>
      <c r="C11" s="4" t="s">
        <v>309</v>
      </c>
      <c r="D11" s="4" t="s">
        <v>310</v>
      </c>
    </row>
    <row r="12" spans="1:4" ht="69" customHeight="1">
      <c r="A12" s="4" t="s">
        <v>13</v>
      </c>
      <c r="B12" s="4" t="s">
        <v>311</v>
      </c>
      <c r="C12" s="4" t="s">
        <v>312</v>
      </c>
      <c r="D12" s="4" t="s">
        <v>313</v>
      </c>
    </row>
    <row r="13" spans="1:4" ht="69" customHeight="1">
      <c r="A13" s="4" t="s">
        <v>314</v>
      </c>
      <c r="B13" s="4" t="s">
        <v>315</v>
      </c>
      <c r="C13" s="4" t="s">
        <v>316</v>
      </c>
      <c r="D13" s="4" t="s">
        <v>317</v>
      </c>
    </row>
    <row r="14" spans="1:4" ht="69" customHeight="1">
      <c r="A14" s="4" t="s">
        <v>318</v>
      </c>
      <c r="B14" s="4" t="s">
        <v>319</v>
      </c>
      <c r="C14" s="4" t="s">
        <v>320</v>
      </c>
      <c r="D14" s="4" t="s">
        <v>317</v>
      </c>
    </row>
    <row r="15" spans="1:4" ht="69" customHeight="1">
      <c r="A15" s="4" t="s">
        <v>124</v>
      </c>
      <c r="B15" s="4" t="s">
        <v>321</v>
      </c>
      <c r="C15" s="4" t="s">
        <v>322</v>
      </c>
      <c r="D15" s="4" t="s">
        <v>323</v>
      </c>
    </row>
    <row r="16" spans="1:4" ht="69" customHeight="1">
      <c r="A16" s="4" t="s">
        <v>324</v>
      </c>
      <c r="B16" s="4" t="s">
        <v>325</v>
      </c>
      <c r="C16" s="4" t="s">
        <v>326</v>
      </c>
      <c r="D16" s="4" t="s">
        <v>327</v>
      </c>
    </row>
    <row r="17" spans="1:4" ht="69" customHeight="1">
      <c r="A17" s="4" t="s">
        <v>328</v>
      </c>
      <c r="B17" s="4" t="s">
        <v>329</v>
      </c>
      <c r="C17" s="4" t="s">
        <v>330</v>
      </c>
      <c r="D17" s="4" t="s">
        <v>331</v>
      </c>
    </row>
    <row r="18" spans="1:4" ht="69" customHeight="1">
      <c r="A18" s="4" t="s">
        <v>332</v>
      </c>
      <c r="B18" s="4" t="s">
        <v>333</v>
      </c>
      <c r="C18" s="4" t="s">
        <v>334</v>
      </c>
      <c r="D18" s="4" t="s">
        <v>335</v>
      </c>
    </row>
    <row r="19" spans="1:4" ht="69" customHeight="1">
      <c r="A19" s="4" t="s">
        <v>336</v>
      </c>
      <c r="B19" s="4" t="s">
        <v>337</v>
      </c>
      <c r="C19" s="4" t="s">
        <v>338</v>
      </c>
      <c r="D19" s="4" t="s">
        <v>339</v>
      </c>
    </row>
  </sheetData>
  <mergeCells count="3">
    <mergeCell ref="A1:D1"/>
    <mergeCell ref="A2:D2"/>
    <mergeCell ref="A3:D3"/>
  </mergeCells>
  <pageMargins left="0.3" right="0.3" top="0.4" bottom="0.4" header="0.3" footer="0.3"/>
  <pageSetup paperSize="9" fitToHeight="0" orientation="landscape"/>
  <headerFooter>
    <oddFooter>&amp;L棚户记账 · 基础数据维护1.2.2&amp;R第 &amp;P 页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3</v>
      </c>
      <c r="C1" t="s">
        <v>9</v>
      </c>
      <c r="D1" t="s">
        <v>12</v>
      </c>
      <c r="E1" t="s">
        <v>15</v>
      </c>
      <c r="F1" t="s">
        <v>20</v>
      </c>
      <c r="G1" t="s">
        <v>24</v>
      </c>
      <c r="H1" t="s">
        <v>28</v>
      </c>
      <c r="I1" t="s">
        <v>33</v>
      </c>
      <c r="J1" t="s">
        <v>37</v>
      </c>
    </row>
    <row r="2" spans="1:10">
      <c r="A2" t="s">
        <v>1</v>
      </c>
      <c r="B2" t="s">
        <v>4</v>
      </c>
      <c r="C2" t="s">
        <v>10</v>
      </c>
      <c r="D2" t="s">
        <v>13</v>
      </c>
      <c r="E2" t="s">
        <v>16</v>
      </c>
      <c r="F2" t="s">
        <v>21</v>
      </c>
      <c r="G2" t="s">
        <v>25</v>
      </c>
      <c r="H2" t="s">
        <v>29</v>
      </c>
      <c r="I2" t="s">
        <v>34</v>
      </c>
      <c r="J2" t="s">
        <v>38</v>
      </c>
    </row>
    <row r="3" spans="1:10">
      <c r="A3" t="s">
        <v>2</v>
      </c>
      <c r="B3" t="s">
        <v>5</v>
      </c>
      <c r="C3" t="s">
        <v>11</v>
      </c>
      <c r="D3" t="s">
        <v>14</v>
      </c>
      <c r="E3" t="s">
        <v>17</v>
      </c>
      <c r="F3" t="s">
        <v>22</v>
      </c>
      <c r="G3" t="s">
        <v>26</v>
      </c>
      <c r="H3" t="s">
        <v>30</v>
      </c>
      <c r="I3" t="s">
        <v>35</v>
      </c>
      <c r="J3" t="s">
        <v>39</v>
      </c>
    </row>
    <row r="4" spans="1:10">
      <c r="B4" t="s">
        <v>6</v>
      </c>
      <c r="E4" t="s">
        <v>18</v>
      </c>
      <c r="F4" t="s">
        <v>23</v>
      </c>
      <c r="G4" t="s">
        <v>27</v>
      </c>
      <c r="H4" t="s">
        <v>31</v>
      </c>
      <c r="I4" t="s">
        <v>36</v>
      </c>
      <c r="J4" t="s">
        <v>40</v>
      </c>
    </row>
    <row r="5" spans="1:10">
      <c r="B5" t="s">
        <v>7</v>
      </c>
      <c r="E5" t="s">
        <v>19</v>
      </c>
      <c r="G5" t="s">
        <v>6</v>
      </c>
      <c r="H5" t="s">
        <v>32</v>
      </c>
      <c r="I5" t="s">
        <v>6</v>
      </c>
      <c r="J5" t="s">
        <v>8</v>
      </c>
    </row>
    <row r="6" spans="1:10">
      <c r="B6" t="s">
        <v>8</v>
      </c>
      <c r="H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31</vt:i4>
      </vt:variant>
    </vt:vector>
  </HeadingPairs>
  <TitlesOfParts>
    <vt:vector size="43" baseType="lpstr">
      <vt:lpstr>00维护指导</vt:lpstr>
      <vt:lpstr>01维护清单</vt:lpstr>
      <vt:lpstr>02人员账号</vt:lpstr>
      <vt:lpstr>03棚户档案</vt:lpstr>
      <vt:lpstr>04包装档案</vt:lpstr>
      <vt:lpstr>05蔬菜档案</vt:lpstr>
      <vt:lpstr>06客户档案</vt:lpstr>
      <vt:lpstr>07期初盘点</vt:lpstr>
      <vt:lpstr>08未结任务</vt:lpstr>
      <vt:lpstr>09上线核对</vt:lpstr>
      <vt:lpstr>10填写示例</vt:lpstr>
      <vt:lpstr>选项</vt:lpstr>
      <vt:lpstr>bind_status</vt:lpstr>
      <vt:lpstr>cutover_action</vt:lpstr>
      <vt:lpstr>item_kind</vt:lpstr>
      <vt:lpstr>maint_status</vt:lpstr>
      <vt:lpstr>password_status</vt:lpstr>
      <vt:lpstr>'00维护指导'!Print_Area</vt:lpstr>
      <vt:lpstr>'01维护清单'!Print_Area</vt:lpstr>
      <vt:lpstr>'02人员账号'!Print_Area</vt:lpstr>
      <vt:lpstr>'03棚户档案'!Print_Area</vt:lpstr>
      <vt:lpstr>'04包装档案'!Print_Area</vt:lpstr>
      <vt:lpstr>'05蔬菜档案'!Print_Area</vt:lpstr>
      <vt:lpstr>'06客户档案'!Print_Area</vt:lpstr>
      <vt:lpstr>'07期初盘点'!Print_Area</vt:lpstr>
      <vt:lpstr>'08未结任务'!Print_Area</vt:lpstr>
      <vt:lpstr>'09上线核对'!Print_Area</vt:lpstr>
      <vt:lpstr>'10填写示例'!Print_Area</vt:lpstr>
      <vt:lpstr>'01维护清单'!Print_Titles</vt:lpstr>
      <vt:lpstr>'02人员账号'!Print_Titles</vt:lpstr>
      <vt:lpstr>'03棚户档案'!Print_Titles</vt:lpstr>
      <vt:lpstr>'04包装档案'!Print_Titles</vt:lpstr>
      <vt:lpstr>'05蔬菜档案'!Print_Titles</vt:lpstr>
      <vt:lpstr>'06客户档案'!Print_Titles</vt:lpstr>
      <vt:lpstr>'07期初盘点'!Print_Titles</vt:lpstr>
      <vt:lpstr>'08未结任务'!Print_Titles</vt:lpstr>
      <vt:lpstr>'09上线核对'!Print_Titles</vt:lpstr>
      <vt:lpstr>'10填写示例'!Print_Titles</vt:lpstr>
      <vt:lpstr>review_result</vt:lpstr>
      <vt:lpstr>stock_action</vt:lpstr>
      <vt:lpstr>stock_status</vt:lpstr>
      <vt:lpstr>veg_units</vt:lpstr>
      <vt:lpstr>yes_no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棚户记账：上线前基础数据维护指导</dc:title>
  <dc:subject>管理员建档、盘点与上线核对</dc:subject>
  <dc:creator>棚户记账</dc:creator>
  <dc:description>适用版本1.2.2；填写后按后台界面维护。本文件不具备自动导入功能。</dc:description>
  <cp:lastModifiedBy>棚户记账</cp:lastModifiedBy>
  <dcterms:created xsi:type="dcterms:W3CDTF">2026-10-14T09:03:14Z</dcterms:created>
  <dcterms:modified xsi:type="dcterms:W3CDTF">2026-10-14T09:03:14Z</dcterms:modified>
</cp:coreProperties>
</file>